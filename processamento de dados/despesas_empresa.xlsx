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spesas 2024" sheetId="1" state="visible" r:id="rId3"/>
    <sheet name="Resumo por Categoria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<sst xmlns="http://schemas.openxmlformats.org/spreadsheetml/2006/main" count="1817" uniqueCount="638">
  <si>
    <t xml:space="preserve">ID</t>
  </si>
  <si>
    <t xml:space="preserve">Data</t>
  </si>
  <si>
    <t xml:space="preserve">Categoria</t>
  </si>
  <si>
    <t xml:space="preserve">Subcategoria</t>
  </si>
  <si>
    <t xml:space="preserve">Descrição</t>
  </si>
  <si>
    <t xml:space="preserve">Fornecedor</t>
  </si>
  <si>
    <t xml:space="preserve">Valor</t>
  </si>
  <si>
    <t xml:space="preserve">Departamento</t>
  </si>
  <si>
    <t xml:space="preserve">Centro de Custo</t>
  </si>
  <si>
    <t xml:space="preserve">Aprovador</t>
  </si>
  <si>
    <t xml:space="preserve">Status</t>
  </si>
  <si>
    <t xml:space="preserve">23/02/2024</t>
  </si>
  <si>
    <t xml:space="preserve">TI</t>
  </si>
  <si>
    <t xml:space="preserve">Cloud</t>
  </si>
  <si>
    <t xml:space="preserve">Despesa 1 - Cloud</t>
  </si>
  <si>
    <t xml:space="preserve">Eta Supplies</t>
  </si>
  <si>
    <t xml:space="preserve">Diretoria</t>
  </si>
  <si>
    <t xml:space="preserve">CC-7698</t>
  </si>
  <si>
    <t xml:space="preserve">Pedro Oliveira</t>
  </si>
  <si>
    <t xml:space="preserve">Pendente</t>
  </si>
  <si>
    <t xml:space="preserve">27/04/2024</t>
  </si>
  <si>
    <t xml:space="preserve">Pessoal</t>
  </si>
  <si>
    <t xml:space="preserve">Salários</t>
  </si>
  <si>
    <t xml:space="preserve">Despesa 2 - Salários</t>
  </si>
  <si>
    <t xml:space="preserve">Delta Logistics</t>
  </si>
  <si>
    <t xml:space="preserve">CC-1141</t>
  </si>
  <si>
    <t xml:space="preserve">Carla Souza</t>
  </si>
  <si>
    <t xml:space="preserve">Aprovado</t>
  </si>
  <si>
    <t xml:space="preserve">20/03/2024</t>
  </si>
  <si>
    <t xml:space="preserve">Benefícios</t>
  </si>
  <si>
    <t xml:space="preserve">Despesa 3 - Benefícios</t>
  </si>
  <si>
    <t xml:space="preserve">Zeta Consultoria</t>
  </si>
  <si>
    <t xml:space="preserve">Operações</t>
  </si>
  <si>
    <t xml:space="preserve">CC-3754</t>
  </si>
  <si>
    <t xml:space="preserve">Maria Silva</t>
  </si>
  <si>
    <t xml:space="preserve">Em Análise</t>
  </si>
  <si>
    <t xml:space="preserve">19/12/2024</t>
  </si>
  <si>
    <t xml:space="preserve">Viagens</t>
  </si>
  <si>
    <t xml:space="preserve">Transporte</t>
  </si>
  <si>
    <t xml:space="preserve">Despesa 4 - Transporte</t>
  </si>
  <si>
    <t xml:space="preserve">Mu Airlines</t>
  </si>
  <si>
    <t xml:space="preserve">CC-8944</t>
  </si>
  <si>
    <t xml:space="preserve">Rejeitado</t>
  </si>
  <si>
    <t xml:space="preserve">29/10/2024</t>
  </si>
  <si>
    <t xml:space="preserve">Alimentação</t>
  </si>
  <si>
    <t xml:space="preserve">Despesa 5 - Alimentação</t>
  </si>
  <si>
    <t xml:space="preserve">Kappa Software</t>
  </si>
  <si>
    <t xml:space="preserve">Financeiro</t>
  </si>
  <si>
    <t xml:space="preserve">CC-8970</t>
  </si>
  <si>
    <t xml:space="preserve">25/10/2024</t>
  </si>
  <si>
    <t xml:space="preserve">Administrativo</t>
  </si>
  <si>
    <t xml:space="preserve">Jurídico</t>
  </si>
  <si>
    <t xml:space="preserve">Despesa 6 - Jurídico</t>
  </si>
  <si>
    <t xml:space="preserve">Gama Tecnologia</t>
  </si>
  <si>
    <t xml:space="preserve">CC-5659</t>
  </si>
  <si>
    <t xml:space="preserve">09/02/2024</t>
  </si>
  <si>
    <t xml:space="preserve">Operacional</t>
  </si>
  <si>
    <t xml:space="preserve">Limpeza</t>
  </si>
  <si>
    <t xml:space="preserve">Despesa 7 - Limpeza</t>
  </si>
  <si>
    <t xml:space="preserve">Theta Energy</t>
  </si>
  <si>
    <t xml:space="preserve">CC-8258</t>
  </si>
  <si>
    <t xml:space="preserve">Ana Costa</t>
  </si>
  <si>
    <t xml:space="preserve">06/09/2024</t>
  </si>
  <si>
    <t xml:space="preserve">Software</t>
  </si>
  <si>
    <t xml:space="preserve">Despesa 8 - Software</t>
  </si>
  <si>
    <t xml:space="preserve">Xi Eventos</t>
  </si>
  <si>
    <t xml:space="preserve">Marketing</t>
  </si>
  <si>
    <t xml:space="preserve">CC-1997</t>
  </si>
  <si>
    <t xml:space="preserve">05/08/2024</t>
  </si>
  <si>
    <t xml:space="preserve">Manutenção</t>
  </si>
  <si>
    <t xml:space="preserve">Despesa 9 - Manutenção</t>
  </si>
  <si>
    <t xml:space="preserve">CC-6474</t>
  </si>
  <si>
    <t xml:space="preserve">08/03/2024</t>
  </si>
  <si>
    <t xml:space="preserve">Despesa 10 - Manutenção</t>
  </si>
  <si>
    <t xml:space="preserve">Tech Solutions Ltda</t>
  </si>
  <si>
    <t xml:space="preserve">CC-1259</t>
  </si>
  <si>
    <t xml:space="preserve">João Santos</t>
  </si>
  <si>
    <t xml:space="preserve">19/11/2024</t>
  </si>
  <si>
    <t xml:space="preserve">Despesa 11 - Benefícios</t>
  </si>
  <si>
    <t xml:space="preserve">CC-8029</t>
  </si>
  <si>
    <t xml:space="preserve">15/07/2024</t>
  </si>
  <si>
    <t xml:space="preserve">Despesa 12 - Benefícios</t>
  </si>
  <si>
    <t xml:space="preserve">Iota Telecom</t>
  </si>
  <si>
    <t xml:space="preserve">CC-2385</t>
  </si>
  <si>
    <t xml:space="preserve">20/07/2024</t>
  </si>
  <si>
    <t xml:space="preserve">Despesa 13 - Software</t>
  </si>
  <si>
    <t xml:space="preserve">CC-3557</t>
  </si>
  <si>
    <t xml:space="preserve">12/03/2024</t>
  </si>
  <si>
    <t xml:space="preserve">Despesa 14 - Transporte</t>
  </si>
  <si>
    <t xml:space="preserve">Lambda Hotels</t>
  </si>
  <si>
    <t xml:space="preserve">CC-1738</t>
  </si>
  <si>
    <t xml:space="preserve">12/09/2024</t>
  </si>
  <si>
    <t xml:space="preserve">Infraestrutura</t>
  </si>
  <si>
    <t xml:space="preserve">Aluguel</t>
  </si>
  <si>
    <t xml:space="preserve">Despesa 15 - Aluguel</t>
  </si>
  <si>
    <t xml:space="preserve">CC-1857</t>
  </si>
  <si>
    <t xml:space="preserve">26/04/2024</t>
  </si>
  <si>
    <t xml:space="preserve">Eventos</t>
  </si>
  <si>
    <t xml:space="preserve">Despesa 16 - Eventos</t>
  </si>
  <si>
    <t xml:space="preserve">Nu Transportes</t>
  </si>
  <si>
    <t xml:space="preserve">Vendas</t>
  </si>
  <si>
    <t xml:space="preserve">CC-7081</t>
  </si>
  <si>
    <t xml:space="preserve">27/09/2024</t>
  </si>
  <si>
    <t xml:space="preserve">Seguros</t>
  </si>
  <si>
    <t xml:space="preserve">Despesa 17 - Seguros</t>
  </si>
  <si>
    <t xml:space="preserve">CC-1385</t>
  </si>
  <si>
    <t xml:space="preserve">24/12/2024</t>
  </si>
  <si>
    <t xml:space="preserve">Despesa 18 - Transporte</t>
  </si>
  <si>
    <t xml:space="preserve">CC-2785</t>
  </si>
  <si>
    <t xml:space="preserve">08/08/2024</t>
  </si>
  <si>
    <t xml:space="preserve">Despesa 19 - Software</t>
  </si>
  <si>
    <t xml:space="preserve">CC-7673</t>
  </si>
  <si>
    <t xml:space="preserve">13/09/2024</t>
  </si>
  <si>
    <t xml:space="preserve">Materiais</t>
  </si>
  <si>
    <t xml:space="preserve">Despesa 20 - Materiais</t>
  </si>
  <si>
    <t xml:space="preserve">CC-9799</t>
  </si>
  <si>
    <t xml:space="preserve">28/05/2024</t>
  </si>
  <si>
    <t xml:space="preserve">Despesa 21 - Manutenção</t>
  </si>
  <si>
    <t xml:space="preserve">CC-4479</t>
  </si>
  <si>
    <t xml:space="preserve">23/04/2024</t>
  </si>
  <si>
    <t xml:space="preserve">Publicidade Online</t>
  </si>
  <si>
    <t xml:space="preserve">Despesa 22 - Publicidade Online</t>
  </si>
  <si>
    <t xml:space="preserve">Omicron Seguros</t>
  </si>
  <si>
    <t xml:space="preserve">RH</t>
  </si>
  <si>
    <t xml:space="preserve">CC-2631</t>
  </si>
  <si>
    <t xml:space="preserve">30/02/2024</t>
  </si>
  <si>
    <t xml:space="preserve">Despesa 23 - Transporte</t>
  </si>
  <si>
    <t xml:space="preserve">CC-1006</t>
  </si>
  <si>
    <t xml:space="preserve">07/03/2024</t>
  </si>
  <si>
    <t xml:space="preserve">Hardware</t>
  </si>
  <si>
    <t xml:space="preserve">Despesa 24 - Hardware</t>
  </si>
  <si>
    <t xml:space="preserve">CC-5804</t>
  </si>
  <si>
    <t xml:space="preserve">12/06/2024</t>
  </si>
  <si>
    <t xml:space="preserve">Despesa 25 - Alimentação</t>
  </si>
  <si>
    <t xml:space="preserve">CC-9040</t>
  </si>
  <si>
    <t xml:space="preserve">11/11/2024</t>
  </si>
  <si>
    <t xml:space="preserve">Despesa 26 - Seguros</t>
  </si>
  <si>
    <t xml:space="preserve">CC-6489</t>
  </si>
  <si>
    <t xml:space="preserve">17/04/2024</t>
  </si>
  <si>
    <t xml:space="preserve">Hospedagem</t>
  </si>
  <si>
    <t xml:space="preserve">Despesa 27 - Hospedagem</t>
  </si>
  <si>
    <t xml:space="preserve">CC-7824</t>
  </si>
  <si>
    <t xml:space="preserve">18/07/2024</t>
  </si>
  <si>
    <t xml:space="preserve">Despesa 28 - Publicidade Online</t>
  </si>
  <si>
    <t xml:space="preserve">CC-5881</t>
  </si>
  <si>
    <t xml:space="preserve">11/10/2024</t>
  </si>
  <si>
    <t xml:space="preserve">Internet</t>
  </si>
  <si>
    <t xml:space="preserve">Despesa 29 - Internet</t>
  </si>
  <si>
    <t xml:space="preserve">Beta Comercial</t>
  </si>
  <si>
    <t xml:space="preserve">CC-5344</t>
  </si>
  <si>
    <t xml:space="preserve">25/01/2024</t>
  </si>
  <si>
    <t xml:space="preserve">Água</t>
  </si>
  <si>
    <t xml:space="preserve">Despesa 30 - Água</t>
  </si>
  <si>
    <t xml:space="preserve">CC-8039</t>
  </si>
  <si>
    <t xml:space="preserve">28/06/2024</t>
  </si>
  <si>
    <t xml:space="preserve">Treinamento</t>
  </si>
  <si>
    <t xml:space="preserve">Despesa 31 - Treinamento</t>
  </si>
  <si>
    <t xml:space="preserve">CC-5162</t>
  </si>
  <si>
    <t xml:space="preserve">24/03/2024</t>
  </si>
  <si>
    <t xml:space="preserve">Despesa 32 - Treinamento</t>
  </si>
  <si>
    <t xml:space="preserve">Alpha Serviços</t>
  </si>
  <si>
    <t xml:space="preserve">CC-9985</t>
  </si>
  <si>
    <t xml:space="preserve">26/03/2024</t>
  </si>
  <si>
    <t xml:space="preserve">Despesa 33 - Salários</t>
  </si>
  <si>
    <t xml:space="preserve">CC-8448</t>
  </si>
  <si>
    <t xml:space="preserve">20/10/2024</t>
  </si>
  <si>
    <t xml:space="preserve">Pessoall</t>
  </si>
  <si>
    <t xml:space="preserve">N/A</t>
  </si>
  <si>
    <t xml:space="preserve">Despesa 34 - N/A</t>
  </si>
  <si>
    <t xml:space="preserve">CC-1175</t>
  </si>
  <si>
    <t xml:space="preserve">Despesa 35 - Manutenção</t>
  </si>
  <si>
    <t xml:space="preserve">CC-1038</t>
  </si>
  <si>
    <t xml:space="preserve">14/12/2024</t>
  </si>
  <si>
    <t xml:space="preserve">Despesa 36 - Internet</t>
  </si>
  <si>
    <t xml:space="preserve">CC-2430</t>
  </si>
  <si>
    <t xml:space="preserve">30/05/2024</t>
  </si>
  <si>
    <t xml:space="preserve">Despesa 37 - Água</t>
  </si>
  <si>
    <t xml:space="preserve">CC-6436</t>
  </si>
  <si>
    <t xml:space="preserve">02/05/2024</t>
  </si>
  <si>
    <t xml:space="preserve">Despesa 38 - Salários</t>
  </si>
  <si>
    <t xml:space="preserve">CC-2262</t>
  </si>
  <si>
    <t xml:space="preserve">23/11/2024</t>
  </si>
  <si>
    <t xml:space="preserve">Passagens</t>
  </si>
  <si>
    <t xml:space="preserve">Despesa 39 - Passagens</t>
  </si>
  <si>
    <t xml:space="preserve">CC-5858</t>
  </si>
  <si>
    <t xml:space="preserve">05/01/2024</t>
  </si>
  <si>
    <t xml:space="preserve">Material Gráfico</t>
  </si>
  <si>
    <t xml:space="preserve">Despesa 40 - Material Gráfico</t>
  </si>
  <si>
    <t xml:space="preserve">CC-3731</t>
  </si>
  <si>
    <t xml:space="preserve">16/07/2024</t>
  </si>
  <si>
    <t xml:space="preserve">Despesa 41 - Alimentação</t>
  </si>
  <si>
    <t xml:space="preserve">Epsilon Marketing</t>
  </si>
  <si>
    <t xml:space="preserve">CC-7062</t>
  </si>
  <si>
    <t xml:space="preserve">19/02/2024</t>
  </si>
  <si>
    <t xml:space="preserve">Despesa 42 - Água</t>
  </si>
  <si>
    <t xml:space="preserve">CC-5706</t>
  </si>
  <si>
    <t xml:space="preserve">15/11/2024</t>
  </si>
  <si>
    <t xml:space="preserve">Despesa 43 - Água</t>
  </si>
  <si>
    <t xml:space="preserve">CC-3847</t>
  </si>
  <si>
    <t xml:space="preserve">28/11/2024</t>
  </si>
  <si>
    <t xml:space="preserve">Telefonia</t>
  </si>
  <si>
    <t xml:space="preserve">Despesa 44 - Telefonia</t>
  </si>
  <si>
    <t xml:space="preserve">CC-8225</t>
  </si>
  <si>
    <t xml:space="preserve">15/03/2024</t>
  </si>
  <si>
    <t xml:space="preserve">Despesa 44 - Alimentação</t>
  </si>
  <si>
    <t xml:space="preserve">CC-7289</t>
  </si>
  <si>
    <t xml:space="preserve">30/03/2024</t>
  </si>
  <si>
    <t xml:space="preserve">Redes Sociais</t>
  </si>
  <si>
    <t xml:space="preserve">Despesa 46 - Redes Sociais</t>
  </si>
  <si>
    <t xml:space="preserve">CC-9005</t>
  </si>
  <si>
    <t xml:space="preserve">29/06/2024</t>
  </si>
  <si>
    <t xml:space="preserve">Despesa 47 - Benefícios</t>
  </si>
  <si>
    <t xml:space="preserve">CC-1576</t>
  </si>
  <si>
    <t xml:space="preserve">28/10/2024</t>
  </si>
  <si>
    <t xml:space="preserve">Despesa 48 - Transporte</t>
  </si>
  <si>
    <t xml:space="preserve">CC-6218</t>
  </si>
  <si>
    <t xml:space="preserve">28/08/2024</t>
  </si>
  <si>
    <t xml:space="preserve">Papelaria</t>
  </si>
  <si>
    <t xml:space="preserve">Despesa 49 - Papelaria</t>
  </si>
  <si>
    <t xml:space="preserve">CC-6471</t>
  </si>
  <si>
    <t xml:space="preserve">07/01/2024</t>
  </si>
  <si>
    <t xml:space="preserve">Despesa 50 - Passagens</t>
  </si>
  <si>
    <t xml:space="preserve">CC-1816</t>
  </si>
  <si>
    <t xml:space="preserve">11/12/2024</t>
  </si>
  <si>
    <t xml:space="preserve">Despesa 51 - Aluguel</t>
  </si>
  <si>
    <t xml:space="preserve">CC-5554</t>
  </si>
  <si>
    <t xml:space="preserve">20/11/2024</t>
  </si>
  <si>
    <t xml:space="preserve">Despesa 52 - Hospedagem</t>
  </si>
  <si>
    <t xml:space="preserve">CC-1400</t>
  </si>
  <si>
    <t xml:space="preserve">02/09/2024</t>
  </si>
  <si>
    <t xml:space="preserve">Despesa 53 - Alimentação</t>
  </si>
  <si>
    <t xml:space="preserve">CC-6899</t>
  </si>
  <si>
    <t xml:space="preserve">05/12/2024</t>
  </si>
  <si>
    <t xml:space="preserve">Despesa 54 - Telefonia</t>
  </si>
  <si>
    <t xml:space="preserve">CC-4875</t>
  </si>
  <si>
    <t xml:space="preserve">17/08/2024</t>
  </si>
  <si>
    <t xml:space="preserve">Despesa 55 - Salários</t>
  </si>
  <si>
    <t xml:space="preserve">CC-8331</t>
  </si>
  <si>
    <t xml:space="preserve">07/04/2024</t>
  </si>
  <si>
    <t xml:space="preserve">Despesa 56 - Hospedagem</t>
  </si>
  <si>
    <t xml:space="preserve">CC-6738</t>
  </si>
  <si>
    <t xml:space="preserve">15/06/2024</t>
  </si>
  <si>
    <t xml:space="preserve">Despesa 57 - Água</t>
  </si>
  <si>
    <t xml:space="preserve">CC-9641</t>
  </si>
  <si>
    <t xml:space="preserve">21/08/2024</t>
  </si>
  <si>
    <t xml:space="preserve">Despesa 58 - Materiais</t>
  </si>
  <si>
    <t xml:space="preserve">CC-5351</t>
  </si>
  <si>
    <t xml:space="preserve">Despesa 59 - Redes Sociais</t>
  </si>
  <si>
    <t xml:space="preserve">CC-7769</t>
  </si>
  <si>
    <t xml:space="preserve">05/10/2024</t>
  </si>
  <si>
    <t xml:space="preserve">Despesa 60 - Benefícios</t>
  </si>
  <si>
    <t xml:space="preserve">CC-3924</t>
  </si>
  <si>
    <t xml:space="preserve">14/10/2024</t>
  </si>
  <si>
    <t xml:space="preserve">Despesa 61 - Manutenção</t>
  </si>
  <si>
    <t xml:space="preserve">21/04/2024</t>
  </si>
  <si>
    <t xml:space="preserve">Despesa 62 - Telefonia</t>
  </si>
  <si>
    <t xml:space="preserve">CC-4101</t>
  </si>
  <si>
    <t xml:space="preserve">24/06/2024</t>
  </si>
  <si>
    <t xml:space="preserve">Energia</t>
  </si>
  <si>
    <t xml:space="preserve">Despesa 63 - Energia</t>
  </si>
  <si>
    <t xml:space="preserve">CC-2901</t>
  </si>
  <si>
    <t xml:space="preserve">23/03/2024</t>
  </si>
  <si>
    <t xml:space="preserve">Despesa 64 - Eventos</t>
  </si>
  <si>
    <t xml:space="preserve">CC-8750</t>
  </si>
  <si>
    <t xml:space="preserve">19/05/2024</t>
  </si>
  <si>
    <t xml:space="preserve">Despesa 65 - Energia</t>
  </si>
  <si>
    <t xml:space="preserve">CC-9917</t>
  </si>
  <si>
    <t xml:space="preserve">12/01/2024</t>
  </si>
  <si>
    <t xml:space="preserve">Despesa 66 - Jurídico</t>
  </si>
  <si>
    <t xml:space="preserve">CC-3525</t>
  </si>
  <si>
    <t xml:space="preserve">2024-15-32</t>
  </si>
  <si>
    <t xml:space="preserve">Despesa 67 - Jurídico</t>
  </si>
  <si>
    <t xml:space="preserve">CC-7294</t>
  </si>
  <si>
    <t xml:space="preserve">02/07/2024</t>
  </si>
  <si>
    <t xml:space="preserve">Despesa 68 - Manutenção</t>
  </si>
  <si>
    <t xml:space="preserve">CC-8962</t>
  </si>
  <si>
    <t xml:space="preserve">08/10/2024</t>
  </si>
  <si>
    <t xml:space="preserve">Despesa 69 - Publicidade Online</t>
  </si>
  <si>
    <t xml:space="preserve">CC-8301</t>
  </si>
  <si>
    <t xml:space="preserve">17/10/2024</t>
  </si>
  <si>
    <t xml:space="preserve">Despesa 70 - Seguros</t>
  </si>
  <si>
    <t xml:space="preserve">CC-3832</t>
  </si>
  <si>
    <t xml:space="preserve">16/09/2024</t>
  </si>
  <si>
    <t xml:space="preserve">Despesa 71 - Treinamento</t>
  </si>
  <si>
    <t xml:space="preserve">CC-1425</t>
  </si>
  <si>
    <t xml:space="preserve">Despesa 72 - Jurídico</t>
  </si>
  <si>
    <t xml:space="preserve">CC-8787</t>
  </si>
  <si>
    <t xml:space="preserve">22/08/2024</t>
  </si>
  <si>
    <t xml:space="preserve">Despesa 73 - Água</t>
  </si>
  <si>
    <t xml:space="preserve">CC-4262</t>
  </si>
  <si>
    <t xml:space="preserve">27/08/2024</t>
  </si>
  <si>
    <t xml:space="preserve">Despesa 74 - Manutenção</t>
  </si>
  <si>
    <t xml:space="preserve">CC-1819</t>
  </si>
  <si>
    <t xml:space="preserve">Despesa 75 - Alimentação</t>
  </si>
  <si>
    <t xml:space="preserve">CC-5675</t>
  </si>
  <si>
    <t xml:space="preserve">17/07/2024</t>
  </si>
  <si>
    <t xml:space="preserve">Despesa 76 - Publicidade Online</t>
  </si>
  <si>
    <t xml:space="preserve">CC-1956</t>
  </si>
  <si>
    <t xml:space="preserve">03/06/2024</t>
  </si>
  <si>
    <t xml:space="preserve">Despesa 77 - Eventos</t>
  </si>
  <si>
    <t xml:space="preserve">CC-4832</t>
  </si>
  <si>
    <t xml:space="preserve">19/09/2024</t>
  </si>
  <si>
    <t xml:space="preserve">Logística</t>
  </si>
  <si>
    <t xml:space="preserve">Despesa 78 - Logística</t>
  </si>
  <si>
    <t xml:space="preserve">CC-8446</t>
  </si>
  <si>
    <t xml:space="preserve">21/06/2024</t>
  </si>
  <si>
    <t xml:space="preserve">Despesa 79 - Cloud</t>
  </si>
  <si>
    <t xml:space="preserve">CC-8419</t>
  </si>
  <si>
    <t xml:space="preserve">20/02/2024</t>
  </si>
  <si>
    <t xml:space="preserve">Despesa 80 - Benefícios</t>
  </si>
  <si>
    <t xml:space="preserve">CC-7997</t>
  </si>
  <si>
    <t xml:space="preserve">29/03/2024</t>
  </si>
  <si>
    <t xml:space="preserve">Despesa 81 - Energia</t>
  </si>
  <si>
    <t xml:space="preserve">CC-8345</t>
  </si>
  <si>
    <t xml:space="preserve">Despesa 82 - Manutenção</t>
  </si>
  <si>
    <t xml:space="preserve">CC-7683</t>
  </si>
  <si>
    <t xml:space="preserve">03/04/2024</t>
  </si>
  <si>
    <t xml:space="preserve">Despesa 83 - Cloud</t>
  </si>
  <si>
    <t xml:space="preserve">CC-6641</t>
  </si>
  <si>
    <t xml:space="preserve">25/11/2024</t>
  </si>
  <si>
    <t xml:space="preserve">Despesa 84 - Jurídico</t>
  </si>
  <si>
    <t xml:space="preserve">CC-8213</t>
  </si>
  <si>
    <t xml:space="preserve">27/01/2024</t>
  </si>
  <si>
    <t xml:space="preserve">Despesa 85 - Internet</t>
  </si>
  <si>
    <t xml:space="preserve">CC-7610</t>
  </si>
  <si>
    <t xml:space="preserve">05/02/2024</t>
  </si>
  <si>
    <t xml:space="preserve">Despesa 86 - Papelaria</t>
  </si>
  <si>
    <t xml:space="preserve">CC-9827</t>
  </si>
  <si>
    <t xml:space="preserve">Despesa 86 - Benefícios</t>
  </si>
  <si>
    <t xml:space="preserve">CC-3336</t>
  </si>
  <si>
    <t xml:space="preserve">23/05/2024</t>
  </si>
  <si>
    <t xml:space="preserve">Contabilidade</t>
  </si>
  <si>
    <t xml:space="preserve">Despesa 88 - Contabilidade</t>
  </si>
  <si>
    <t xml:space="preserve">CC-5142</t>
  </si>
  <si>
    <t xml:space="preserve">23/12/2024</t>
  </si>
  <si>
    <t xml:space="preserve">INFRAESTRUTURA</t>
  </si>
  <si>
    <t xml:space="preserve">Despesa 89 - N/A</t>
  </si>
  <si>
    <t xml:space="preserve">CC-8990</t>
  </si>
  <si>
    <t xml:space="preserve">Despesa 90 - Treinamento</t>
  </si>
  <si>
    <t xml:space="preserve">CC-1561</t>
  </si>
  <si>
    <t xml:space="preserve">08/12/2024</t>
  </si>
  <si>
    <t xml:space="preserve">Despesa 91 - Contabilidade</t>
  </si>
  <si>
    <t xml:space="preserve">CC-7128</t>
  </si>
  <si>
    <t xml:space="preserve">13/03/2024</t>
  </si>
  <si>
    <t xml:space="preserve">Despesa 92 - Cloud</t>
  </si>
  <si>
    <t xml:space="preserve">CC-1187</t>
  </si>
  <si>
    <t xml:space="preserve">06/07/2024</t>
  </si>
  <si>
    <t xml:space="preserve">Despesa 93 - Material Gráfico</t>
  </si>
  <si>
    <t xml:space="preserve">CC-5049</t>
  </si>
  <si>
    <t xml:space="preserve">01/10/2024</t>
  </si>
  <si>
    <t xml:space="preserve">Despesa 94 - Internet</t>
  </si>
  <si>
    <t xml:space="preserve">CC-6887</t>
  </si>
  <si>
    <t xml:space="preserve">Despesa 95 - Logística</t>
  </si>
  <si>
    <t xml:space="preserve">CC-5486</t>
  </si>
  <si>
    <t xml:space="preserve">06/08/2024</t>
  </si>
  <si>
    <t xml:space="preserve">Despesa 96 - Alimentação</t>
  </si>
  <si>
    <t xml:space="preserve">CC-8311</t>
  </si>
  <si>
    <t xml:space="preserve">14/03/2024</t>
  </si>
  <si>
    <t xml:space="preserve">Despesa 97 - Hardware</t>
  </si>
  <si>
    <t xml:space="preserve">CC-4112</t>
  </si>
  <si>
    <t xml:space="preserve">Despesa 98 - Passagens</t>
  </si>
  <si>
    <t xml:space="preserve">CC-2863</t>
  </si>
  <si>
    <t xml:space="preserve">14/08/2024</t>
  </si>
  <si>
    <t xml:space="preserve">Despesa 99 - Internet</t>
  </si>
  <si>
    <t xml:space="preserve">CC-3314</t>
  </si>
  <si>
    <t xml:space="preserve">28/03/2024</t>
  </si>
  <si>
    <t xml:space="preserve">Despesa 100 - Papelaria</t>
  </si>
  <si>
    <t xml:space="preserve">CC-1118</t>
  </si>
  <si>
    <t xml:space="preserve">19/06/2024</t>
  </si>
  <si>
    <t xml:space="preserve">Despesa 101 - Contabilidade</t>
  </si>
  <si>
    <t xml:space="preserve">CC-4768</t>
  </si>
  <si>
    <t xml:space="preserve">24/01/2024</t>
  </si>
  <si>
    <t xml:space="preserve">Despesa 102 - Passagens</t>
  </si>
  <si>
    <t xml:space="preserve">CC-9890</t>
  </si>
  <si>
    <t xml:space="preserve">13/07/2024</t>
  </si>
  <si>
    <t xml:space="preserve">Despesa 103 - Benefícios</t>
  </si>
  <si>
    <t xml:space="preserve">CC-XXXX</t>
  </si>
  <si>
    <t xml:space="preserve">10/01/2024</t>
  </si>
  <si>
    <t xml:space="preserve">Despesa 104 - Papelaria</t>
  </si>
  <si>
    <t xml:space="preserve">CC-7221</t>
  </si>
  <si>
    <t xml:space="preserve">03/01/2024</t>
  </si>
  <si>
    <t xml:space="preserve">Despesa 105 - Internet</t>
  </si>
  <si>
    <t xml:space="preserve">CC-3289</t>
  </si>
  <si>
    <t xml:space="preserve">Despesa 106 - Manutenção</t>
  </si>
  <si>
    <t xml:space="preserve">CC-5176</t>
  </si>
  <si>
    <t xml:space="preserve">31/01/2024</t>
  </si>
  <si>
    <t xml:space="preserve">Despesa 107 - Benefícios</t>
  </si>
  <si>
    <t xml:space="preserve">CC-6311</t>
  </si>
  <si>
    <t xml:space="preserve">Despesa 108 - Software</t>
  </si>
  <si>
    <t xml:space="preserve">CC-1249</t>
  </si>
  <si>
    <t xml:space="preserve">29/04/2024</t>
  </si>
  <si>
    <t xml:space="preserve">Despesa 109 - Materiais</t>
  </si>
  <si>
    <t xml:space="preserve">CC-2449</t>
  </si>
  <si>
    <t xml:space="preserve">Despesa 110 - Hardware</t>
  </si>
  <si>
    <t xml:space="preserve">CC-4424</t>
  </si>
  <si>
    <t xml:space="preserve">05/04/2024</t>
  </si>
  <si>
    <t xml:space="preserve">Despesa 111 - Eventos</t>
  </si>
  <si>
    <t xml:space="preserve">CC-2139</t>
  </si>
  <si>
    <t xml:space="preserve">10/08/2024</t>
  </si>
  <si>
    <t xml:space="preserve">Despesa 112 - Transporte</t>
  </si>
  <si>
    <t xml:space="preserve">CC-3487</t>
  </si>
  <si>
    <t xml:space="preserve">24/08/2024</t>
  </si>
  <si>
    <t xml:space="preserve">Despesa 113 - Limpeza</t>
  </si>
  <si>
    <t xml:space="preserve">CC-5577</t>
  </si>
  <si>
    <t xml:space="preserve">28/04/2024</t>
  </si>
  <si>
    <t xml:space="preserve">Despesa 114 - Manutenção</t>
  </si>
  <si>
    <t xml:space="preserve">CC-4365</t>
  </si>
  <si>
    <t xml:space="preserve">Despesa 115 - Transporte</t>
  </si>
  <si>
    <t xml:space="preserve">CC-1357</t>
  </si>
  <si>
    <t xml:space="preserve">Despesa 116 - Manutenção</t>
  </si>
  <si>
    <t xml:space="preserve">CC-3252</t>
  </si>
  <si>
    <t xml:space="preserve">20/12/2024</t>
  </si>
  <si>
    <t xml:space="preserve">Despesa 117 - Material Gráfico</t>
  </si>
  <si>
    <t xml:space="preserve">CC-8280</t>
  </si>
  <si>
    <t xml:space="preserve">16/03/2024</t>
  </si>
  <si>
    <t xml:space="preserve">Despesa 118 - Publicidade Online</t>
  </si>
  <si>
    <t xml:space="preserve">05/07/2024</t>
  </si>
  <si>
    <t xml:space="preserve">Despesa 119 - Jurídico</t>
  </si>
  <si>
    <t xml:space="preserve">CC-5652</t>
  </si>
  <si>
    <t xml:space="preserve">09/09/2024</t>
  </si>
  <si>
    <t xml:space="preserve">Despesa 120 - Internet</t>
  </si>
  <si>
    <t xml:space="preserve">CC-5244</t>
  </si>
  <si>
    <t xml:space="preserve">Despesa 121 - Telefonia</t>
  </si>
  <si>
    <t xml:space="preserve">CC-8978</t>
  </si>
  <si>
    <t xml:space="preserve">02/08/2024</t>
  </si>
  <si>
    <t xml:space="preserve">Despesa 122 - Materiais</t>
  </si>
  <si>
    <t xml:space="preserve">CC-3910</t>
  </si>
  <si>
    <t xml:space="preserve">Despesa 123 - Manutenção</t>
  </si>
  <si>
    <t xml:space="preserve">CC-8285</t>
  </si>
  <si>
    <t xml:space="preserve">03/07/2024</t>
  </si>
  <si>
    <t xml:space="preserve">Despesa 124 - Software</t>
  </si>
  <si>
    <t xml:space="preserve">CC-7789</t>
  </si>
  <si>
    <t xml:space="preserve">20/05/2024</t>
  </si>
  <si>
    <t xml:space="preserve">Despesa 125 - Telefonia</t>
  </si>
  <si>
    <t xml:space="preserve">CC-8049</t>
  </si>
  <si>
    <t xml:space="preserve">07/08/2024</t>
  </si>
  <si>
    <t xml:space="preserve">Despesa 126 - Limpeza</t>
  </si>
  <si>
    <t xml:space="preserve">CC-7417</t>
  </si>
  <si>
    <t xml:space="preserve">Despesa 127 - Alimentação</t>
  </si>
  <si>
    <t xml:space="preserve">CC-6358</t>
  </si>
  <si>
    <t xml:space="preserve">Despesa 128 - Redes Sociais</t>
  </si>
  <si>
    <t xml:space="preserve">CC-1798</t>
  </si>
  <si>
    <t xml:space="preserve">01/03/2024</t>
  </si>
  <si>
    <t xml:space="preserve">Despesa 129 - Energia</t>
  </si>
  <si>
    <t xml:space="preserve">CC-4629</t>
  </si>
  <si>
    <t xml:space="preserve">18/12/2024</t>
  </si>
  <si>
    <t xml:space="preserve">Despesa 130 - Treinamento</t>
  </si>
  <si>
    <t xml:space="preserve">CC-8986</t>
  </si>
  <si>
    <t xml:space="preserve">10/11/2024</t>
  </si>
  <si>
    <t xml:space="preserve">Despesa 131 - Energia</t>
  </si>
  <si>
    <t xml:space="preserve">CC-8815</t>
  </si>
  <si>
    <t xml:space="preserve">11/01/2024</t>
  </si>
  <si>
    <t xml:space="preserve">Despesa 132 - Material Gráfico</t>
  </si>
  <si>
    <t xml:space="preserve">CC-2956</t>
  </si>
  <si>
    <t xml:space="preserve">06/05/2024</t>
  </si>
  <si>
    <t xml:space="preserve">Despesa 133 - Eventos</t>
  </si>
  <si>
    <t xml:space="preserve">CC-1074</t>
  </si>
  <si>
    <t xml:space="preserve">13/01/2024</t>
  </si>
  <si>
    <t xml:space="preserve">Despesa 134 - Benefícios</t>
  </si>
  <si>
    <t xml:space="preserve">CC-8452</t>
  </si>
  <si>
    <t xml:space="preserve">08/09/2024</t>
  </si>
  <si>
    <t xml:space="preserve">Despesa 135 - Jurídico</t>
  </si>
  <si>
    <t xml:space="preserve">CC-2408</t>
  </si>
  <si>
    <t xml:space="preserve">Despesa 136 - Software</t>
  </si>
  <si>
    <t xml:space="preserve">CC-9512</t>
  </si>
  <si>
    <t xml:space="preserve">15/01/2024</t>
  </si>
  <si>
    <t xml:space="preserve">Despesa 137 - Jurídico</t>
  </si>
  <si>
    <t xml:space="preserve">CC-1847</t>
  </si>
  <si>
    <t xml:space="preserve">30/12/2024</t>
  </si>
  <si>
    <t xml:space="preserve">Despesa 138 - Transporte</t>
  </si>
  <si>
    <t xml:space="preserve">CC-1825</t>
  </si>
  <si>
    <t xml:space="preserve">Despesa 139 - Materiais</t>
  </si>
  <si>
    <t xml:space="preserve">CC-1014</t>
  </si>
  <si>
    <t xml:space="preserve">10/02/2024</t>
  </si>
  <si>
    <t xml:space="preserve">Despesa 140 - Treinamento</t>
  </si>
  <si>
    <t xml:space="preserve">CC-1267</t>
  </si>
  <si>
    <t xml:space="preserve">Despesa 141 - Salários</t>
  </si>
  <si>
    <t xml:space="preserve">CC-1618</t>
  </si>
  <si>
    <t xml:space="preserve">17/05/2024</t>
  </si>
  <si>
    <t xml:space="preserve">Despesa 142 - Papelaria</t>
  </si>
  <si>
    <t xml:space="preserve">CC-6584</t>
  </si>
  <si>
    <t xml:space="preserve">18/09/2024</t>
  </si>
  <si>
    <t xml:space="preserve">Despesa 143 - Software</t>
  </si>
  <si>
    <t xml:space="preserve">CC-2119</t>
  </si>
  <si>
    <t xml:space="preserve">14/09/2024</t>
  </si>
  <si>
    <t xml:space="preserve">Despesa 144 - Material Gráfico</t>
  </si>
  <si>
    <t xml:space="preserve">CC-2913</t>
  </si>
  <si>
    <t xml:space="preserve">10/04/2024</t>
  </si>
  <si>
    <t xml:space="preserve">Despesa 145 - N/A</t>
  </si>
  <si>
    <t xml:space="preserve">CC-3835</t>
  </si>
  <si>
    <t xml:space="preserve">Despesa 146 - Jurídico</t>
  </si>
  <si>
    <t xml:space="preserve">CC-5681</t>
  </si>
  <si>
    <t xml:space="preserve">Despesa 147 - Salários</t>
  </si>
  <si>
    <t xml:space="preserve">CC-2086</t>
  </si>
  <si>
    <t xml:space="preserve">03/10/2024</t>
  </si>
  <si>
    <t xml:space="preserve">Despesa 148 - Hospedagem</t>
  </si>
  <si>
    <t xml:space="preserve">CC-7823</t>
  </si>
  <si>
    <t xml:space="preserve">10/06/2024</t>
  </si>
  <si>
    <t xml:space="preserve">Despesa 149 - Salários</t>
  </si>
  <si>
    <t xml:space="preserve">CC-2823</t>
  </si>
  <si>
    <t xml:space="preserve">Despesa 150 - Manutenção</t>
  </si>
  <si>
    <t xml:space="preserve">CC-5085</t>
  </si>
  <si>
    <t xml:space="preserve">09/11/2024</t>
  </si>
  <si>
    <t xml:space="preserve">Despesa 151 - Hospedagem</t>
  </si>
  <si>
    <t xml:space="preserve">CC-5178</t>
  </si>
  <si>
    <t xml:space="preserve">Despesa 152 - Software</t>
  </si>
  <si>
    <t xml:space="preserve">CC-1293</t>
  </si>
  <si>
    <t xml:space="preserve">Despesa 153 - Alimentação</t>
  </si>
  <si>
    <t xml:space="preserve">CC-4760</t>
  </si>
  <si>
    <t xml:space="preserve">Despesa 154 - Papelaria</t>
  </si>
  <si>
    <t xml:space="preserve">CC-4120</t>
  </si>
  <si>
    <t xml:space="preserve">Despesa 155 - Papelaria</t>
  </si>
  <si>
    <t xml:space="preserve">CC-9718</t>
  </si>
  <si>
    <t xml:space="preserve">25/12/2024</t>
  </si>
  <si>
    <t xml:space="preserve">Despesa 155 - Eventos</t>
  </si>
  <si>
    <t xml:space="preserve">CC-4081</t>
  </si>
  <si>
    <t xml:space="preserve">09/04/2024</t>
  </si>
  <si>
    <t xml:space="preserve">Despesa 157 - Transporte</t>
  </si>
  <si>
    <t xml:space="preserve">CC-6078</t>
  </si>
  <si>
    <t xml:space="preserve">Despesa 158 - Limpeza</t>
  </si>
  <si>
    <t xml:space="preserve">CC-7753</t>
  </si>
  <si>
    <t xml:space="preserve">11/07/2024</t>
  </si>
  <si>
    <t xml:space="preserve">Despesa 159 - Água</t>
  </si>
  <si>
    <t xml:space="preserve">CC-6384</t>
  </si>
  <si>
    <t xml:space="preserve">14/07/2024</t>
  </si>
  <si>
    <t xml:space="preserve">Despesa 160 - Alimentação</t>
  </si>
  <si>
    <t xml:space="preserve">CC-1981</t>
  </si>
  <si>
    <t xml:space="preserve">01/05/2024</t>
  </si>
  <si>
    <t xml:space="preserve">Despesa 161 - Treinamento</t>
  </si>
  <si>
    <t xml:space="preserve">CC-6711</t>
  </si>
  <si>
    <t xml:space="preserve">23/10/2024</t>
  </si>
  <si>
    <t xml:space="preserve">Despesa 162 - Salários</t>
  </si>
  <si>
    <t xml:space="preserve">CC-4135</t>
  </si>
  <si>
    <t xml:space="preserve">17/01/2024</t>
  </si>
  <si>
    <t xml:space="preserve">Despesa 163 - Treinamento</t>
  </si>
  <si>
    <t xml:space="preserve">CC-1856</t>
  </si>
  <si>
    <t xml:space="preserve">02/01/2024</t>
  </si>
  <si>
    <t xml:space="preserve">Despesa 164 - Internet</t>
  </si>
  <si>
    <t xml:space="preserve">CC-3520</t>
  </si>
  <si>
    <t xml:space="preserve">Despesa 165 - Internet</t>
  </si>
  <si>
    <t xml:space="preserve">CC-8410</t>
  </si>
  <si>
    <t xml:space="preserve">25/08/2024</t>
  </si>
  <si>
    <t xml:space="preserve">Despesa 166 - Redes Sociais</t>
  </si>
  <si>
    <t xml:space="preserve">CC-8160</t>
  </si>
  <si>
    <t xml:space="preserve">14/02/2024</t>
  </si>
  <si>
    <t xml:space="preserve">Despesa 167 - Papelaria</t>
  </si>
  <si>
    <t xml:space="preserve">CC-5220</t>
  </si>
  <si>
    <t xml:space="preserve">19/07/2024</t>
  </si>
  <si>
    <t xml:space="preserve">Despesa 168 - Treinamento</t>
  </si>
  <si>
    <t xml:space="preserve">CC-9099</t>
  </si>
  <si>
    <t xml:space="preserve">Despesa 169 - Contabilidade</t>
  </si>
  <si>
    <t xml:space="preserve">CC-6661</t>
  </si>
  <si>
    <t xml:space="preserve">11/05/2024</t>
  </si>
  <si>
    <t xml:space="preserve">Despesa 170 - Alimentação</t>
  </si>
  <si>
    <t xml:space="preserve">CC-3523</t>
  </si>
  <si>
    <t xml:space="preserve">Despesa 171 - Salários</t>
  </si>
  <si>
    <t xml:space="preserve">CC-6993</t>
  </si>
  <si>
    <t xml:space="preserve">06/12/2024</t>
  </si>
  <si>
    <t xml:space="preserve">Despesa 172 - Passagens</t>
  </si>
  <si>
    <t xml:space="preserve">Despesa 173 - Telefonia</t>
  </si>
  <si>
    <t xml:space="preserve">CC-4374</t>
  </si>
  <si>
    <t xml:space="preserve">22/09/2024</t>
  </si>
  <si>
    <t xml:space="preserve">Despesa 174 - Seguros</t>
  </si>
  <si>
    <t xml:space="preserve">CC-8296</t>
  </si>
  <si>
    <t xml:space="preserve">29/01/2024</t>
  </si>
  <si>
    <t xml:space="preserve">Despesa 175 - Publicidade Online</t>
  </si>
  <si>
    <t xml:space="preserve">CC-3190</t>
  </si>
  <si>
    <t xml:space="preserve">11/03/2024</t>
  </si>
  <si>
    <t xml:space="preserve">Recrutamento</t>
  </si>
  <si>
    <t xml:space="preserve">Despesa 176 - Recrutamento</t>
  </si>
  <si>
    <t xml:space="preserve">CC-5467</t>
  </si>
  <si>
    <t xml:space="preserve">03/11/2024</t>
  </si>
  <si>
    <t xml:space="preserve">Despesa 177 - Seguros</t>
  </si>
  <si>
    <t xml:space="preserve">CC-5160</t>
  </si>
  <si>
    <t xml:space="preserve">Despesa 178 - Treinamento</t>
  </si>
  <si>
    <t xml:space="preserve">CC-2003</t>
  </si>
  <si>
    <t xml:space="preserve">18/02/2024</t>
  </si>
  <si>
    <t xml:space="preserve">Despesa 179 - Aluguel</t>
  </si>
  <si>
    <t xml:space="preserve">CC-6326</t>
  </si>
  <si>
    <t xml:space="preserve">30/01/2024</t>
  </si>
  <si>
    <t xml:space="preserve">Despesa 180 - Alimentação</t>
  </si>
  <si>
    <t xml:space="preserve">CC-2261</t>
  </si>
  <si>
    <t xml:space="preserve">Despesa 181 - Jurídico</t>
  </si>
  <si>
    <t xml:space="preserve">CC-8557</t>
  </si>
  <si>
    <t xml:space="preserve">Despesa 182 - Hospedagem</t>
  </si>
  <si>
    <t xml:space="preserve">CC-6027</t>
  </si>
  <si>
    <t xml:space="preserve">14/06/2024</t>
  </si>
  <si>
    <t xml:space="preserve">Despesa 183 - Salários</t>
  </si>
  <si>
    <t xml:space="preserve">CC-7709</t>
  </si>
  <si>
    <t xml:space="preserve">17/06/2024</t>
  </si>
  <si>
    <t xml:space="preserve">Despesa 184 - Energia</t>
  </si>
  <si>
    <t xml:space="preserve">CC-9661</t>
  </si>
  <si>
    <t xml:space="preserve">12/07/2024</t>
  </si>
  <si>
    <t xml:space="preserve">Despesa 185 - Internet</t>
  </si>
  <si>
    <t xml:space="preserve">CC-8352</t>
  </si>
  <si>
    <t xml:space="preserve">Despesa 186 - Telefonia</t>
  </si>
  <si>
    <t xml:space="preserve">CC-9916</t>
  </si>
  <si>
    <t xml:space="preserve">21/03/2024</t>
  </si>
  <si>
    <t xml:space="preserve">Despesa 187 - Eventos</t>
  </si>
  <si>
    <t xml:space="preserve">CC-2220</t>
  </si>
  <si>
    <t xml:space="preserve">Despesa 188 - Hospedagem</t>
  </si>
  <si>
    <t xml:space="preserve">CC-7589</t>
  </si>
  <si>
    <t xml:space="preserve">22/05/2024</t>
  </si>
  <si>
    <t xml:space="preserve">Despesa 189 - Internet</t>
  </si>
  <si>
    <t xml:space="preserve">CC-9563</t>
  </si>
  <si>
    <t xml:space="preserve">07/06/2024</t>
  </si>
  <si>
    <t xml:space="preserve">Despesa 190 - Aluguel</t>
  </si>
  <si>
    <t xml:space="preserve">CC-1684</t>
  </si>
  <si>
    <t xml:space="preserve">03/12/2024</t>
  </si>
  <si>
    <t xml:space="preserve">Despesa 191 - Publicidade Online</t>
  </si>
  <si>
    <t xml:space="preserve">CC-4309</t>
  </si>
  <si>
    <t xml:space="preserve">Despesa 192 - Eventos</t>
  </si>
  <si>
    <t xml:space="preserve">CC-9581</t>
  </si>
  <si>
    <t xml:space="preserve">09/05/2024</t>
  </si>
  <si>
    <t xml:space="preserve">Despesa 193 - Benefícios</t>
  </si>
  <si>
    <t xml:space="preserve">CC-4967</t>
  </si>
  <si>
    <t xml:space="preserve">Despesa 194 - Manutenção</t>
  </si>
  <si>
    <t xml:space="preserve">CC-8755</t>
  </si>
  <si>
    <t xml:space="preserve">Despesa 195 - Água</t>
  </si>
  <si>
    <t xml:space="preserve">Despesa 196 - Aluguel</t>
  </si>
  <si>
    <t xml:space="preserve">CC-2712</t>
  </si>
  <si>
    <t xml:space="preserve">26/05/2024</t>
  </si>
  <si>
    <t xml:space="preserve">Despesa 197 - Materiais</t>
  </si>
  <si>
    <t xml:space="preserve">CC-9915</t>
  </si>
  <si>
    <t xml:space="preserve">04/09/2024</t>
  </si>
  <si>
    <t xml:space="preserve">Despesa 198 - Jurídico</t>
  </si>
  <si>
    <t xml:space="preserve">CC-8507</t>
  </si>
  <si>
    <t xml:space="preserve">Despesa 199 - Contabilidade</t>
  </si>
  <si>
    <t xml:space="preserve">CC-5972</t>
  </si>
  <si>
    <t xml:space="preserve">28/07/2024</t>
  </si>
  <si>
    <t xml:space="preserve">Despesa 200 - Aluguel</t>
  </si>
  <si>
    <t xml:space="preserve">CC-1045</t>
  </si>
  <si>
    <t xml:space="preserve">TOTAL:</t>
  </si>
  <si>
    <t xml:space="preserve">Média:</t>
  </si>
  <si>
    <t xml:space="preserve">Total Despesas</t>
  </si>
  <si>
    <t xml:space="preserve">Qtd. Lançamentos</t>
  </si>
  <si>
    <t xml:space="preserve">Média</t>
  </si>
  <si>
    <t xml:space="preserve">% do Total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</si>
</sst>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&quot;R$ &quot;#,##0.00"/>
    <numFmt numFmtId="166" formatCode="General"/>
    <numFmt numFmtId="167" formatCode="0.00%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1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30"/>
    <col collapsed="false" customWidth="true" hidden="false" outlineLevel="0" max="6" min="6" style="0" width="25"/>
    <col collapsed="false" customWidth="true" hidden="false" outlineLevel="0" max="8" min="7" style="0" width="15"/>
    <col collapsed="false" customWidth="true" hidden="false" outlineLevel="0" max="10" min="9" style="0" width="18"/>
    <col collapsed="false" customWidth="true" hidden="false" outlineLevel="0" max="11" min="11" style="0" width="12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customFormat="false" ht="15" hidden="false" customHeight="false" outlineLevel="0" collapsed="false">
      <c r="A2" s="2" t="n">
        <v>1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3" t="n">
        <v>489.33047263363</v>
      </c>
      <c r="H2" s="2" t="s">
        <v>16</v>
      </c>
      <c r="I2" s="2" t="s">
        <v>17</v>
      </c>
      <c r="J2" s="2" t="s">
        <v>18</v>
      </c>
      <c r="K2" s="2" t="s">
        <v>19</v>
      </c>
    </row>
    <row r="3" customFormat="false" ht="15" hidden="false" customHeight="false" outlineLevel="0" collapsed="false">
      <c r="A3" s="2" t="n">
        <v>2</v>
      </c>
      <c r="B3" s="2" t="s">
        <v>20</v>
      </c>
      <c r="C3" s="2" t="s">
        <v>21</v>
      </c>
      <c r="D3" s="2" t="s">
        <v>22</v>
      </c>
      <c r="E3" s="2" t="s">
        <v>23</v>
      </c>
      <c r="F3" s="2" t="s">
        <v>24</v>
      </c>
      <c r="G3" s="3" t="n">
        <v>6273.71042422086</v>
      </c>
      <c r="H3" s="2" t="s">
        <v>16</v>
      </c>
      <c r="I3" s="2" t="s">
        <v>25</v>
      </c>
      <c r="J3" s="2" t="s">
        <v>26</v>
      </c>
      <c r="K3" s="2" t="s">
        <v>27</v>
      </c>
    </row>
    <row r="4" customFormat="false" ht="15" hidden="false" customHeight="false" outlineLevel="0" collapsed="false">
      <c r="A4" s="2" t="n">
        <v>3</v>
      </c>
      <c r="B4" s="2" t="s">
        <v>28</v>
      </c>
      <c r="C4" s="2" t="s">
        <v>21</v>
      </c>
      <c r="D4" s="2" t="s">
        <v>29</v>
      </c>
      <c r="E4" s="2" t="s">
        <v>30</v>
      </c>
      <c r="F4" s="2" t="s">
        <v>31</v>
      </c>
      <c r="G4" s="3" t="n">
        <v>2378.92507750617</v>
      </c>
      <c r="H4" s="2" t="s">
        <v>32</v>
      </c>
      <c r="I4" s="2" t="s">
        <v>33</v>
      </c>
      <c r="J4" s="2" t="s">
        <v>34</v>
      </c>
      <c r="K4" s="2" t="s">
        <v>35</v>
      </c>
    </row>
    <row r="5" customFormat="false" ht="15" hidden="false" customHeight="false" outlineLevel="0" collapsed="false">
      <c r="A5" s="2" t="n">
        <v>4</v>
      </c>
      <c r="B5" s="2" t="s">
        <v>36</v>
      </c>
      <c r="C5" s="2" t="s">
        <v>37</v>
      </c>
      <c r="D5" s="2" t="s">
        <v>38</v>
      </c>
      <c r="E5" s="2" t="s">
        <v>39</v>
      </c>
      <c r="F5" s="2" t="s">
        <v>40</v>
      </c>
      <c r="G5" s="3" t="n">
        <v>3848.9467784699</v>
      </c>
      <c r="H5" s="2" t="s">
        <v>16</v>
      </c>
      <c r="I5" s="2" t="s">
        <v>41</v>
      </c>
      <c r="J5" s="2" t="s">
        <v>26</v>
      </c>
      <c r="K5" s="2" t="s">
        <v>42</v>
      </c>
    </row>
    <row r="6" customFormat="false" ht="15" hidden="false" customHeight="false" outlineLevel="0" collapsed="false">
      <c r="A6" s="2" t="n">
        <v>5</v>
      </c>
      <c r="B6" s="2" t="s">
        <v>43</v>
      </c>
      <c r="C6" s="2" t="s">
        <v>37</v>
      </c>
      <c r="D6" s="2" t="s">
        <v>44</v>
      </c>
      <c r="E6" s="2" t="s">
        <v>45</v>
      </c>
      <c r="F6" s="2" t="s">
        <v>46</v>
      </c>
      <c r="G6" s="3" t="n">
        <v>3358.72048066596</v>
      </c>
      <c r="H6" s="2" t="s">
        <v>47</v>
      </c>
      <c r="I6" s="2" t="s">
        <v>48</v>
      </c>
      <c r="J6" s="2" t="s">
        <v>34</v>
      </c>
      <c r="K6" s="2" t="s">
        <v>35</v>
      </c>
    </row>
    <row r="7" customFormat="false" ht="15" hidden="false" customHeight="false" outlineLevel="0" collapsed="false">
      <c r="A7" s="2" t="n">
        <v>6</v>
      </c>
      <c r="B7" s="2" t="s">
        <v>49</v>
      </c>
      <c r="C7" s="2" t="s">
        <v>50</v>
      </c>
      <c r="D7" s="2" t="s">
        <v>51</v>
      </c>
      <c r="E7" s="2" t="s">
        <v>52</v>
      </c>
      <c r="F7" s="2" t="s">
        <v>53</v>
      </c>
      <c r="G7" s="3" t="n">
        <v>1635.73656370433</v>
      </c>
      <c r="H7" s="2" t="s">
        <v>12</v>
      </c>
      <c r="I7" s="2" t="s">
        <v>54</v>
      </c>
      <c r="J7" s="2" t="s">
        <v>18</v>
      </c>
      <c r="K7" s="2" t="s">
        <v>35</v>
      </c>
    </row>
    <row r="8" customFormat="false" ht="15" hidden="false" customHeight="false" outlineLevel="0" collapsed="false">
      <c r="A8" s="2" t="n">
        <v>7</v>
      </c>
      <c r="B8" s="2" t="s">
        <v>55</v>
      </c>
      <c r="C8" s="2" t="s">
        <v>56</v>
      </c>
      <c r="D8" s="2" t="s">
        <v>57</v>
      </c>
      <c r="E8" s="2" t="s">
        <v>58</v>
      </c>
      <c r="F8" s="2" t="s">
        <v>59</v>
      </c>
      <c r="G8" s="3" t="n">
        <v>1823.37361402973</v>
      </c>
      <c r="H8" s="2" t="s">
        <v>47</v>
      </c>
      <c r="I8" s="2" t="s">
        <v>60</v>
      </c>
      <c r="J8" s="2" t="s">
        <v>61</v>
      </c>
      <c r="K8" s="2" t="s">
        <v>42</v>
      </c>
    </row>
    <row r="9" customFormat="false" ht="15" hidden="false" customHeight="false" outlineLevel="0" collapsed="false">
      <c r="A9" s="2" t="n">
        <v>8</v>
      </c>
      <c r="B9" s="2" t="s">
        <v>62</v>
      </c>
      <c r="C9" s="2" t="s">
        <v>12</v>
      </c>
      <c r="D9" s="2" t="s">
        <v>63</v>
      </c>
      <c r="E9" s="2" t="s">
        <v>64</v>
      </c>
      <c r="F9" s="2" t="s">
        <v>65</v>
      </c>
      <c r="G9" s="3" t="n">
        <v>4452.0156060717</v>
      </c>
      <c r="H9" s="2" t="s">
        <v>66</v>
      </c>
      <c r="I9" s="2" t="s">
        <v>67</v>
      </c>
      <c r="J9" s="2" t="s">
        <v>18</v>
      </c>
      <c r="K9" s="2" t="s">
        <v>27</v>
      </c>
    </row>
    <row r="10" customFormat="false" ht="15" hidden="false" customHeight="false" outlineLevel="0" collapsed="false">
      <c r="A10" s="2" t="n">
        <v>9</v>
      </c>
      <c r="B10" s="2" t="s">
        <v>68</v>
      </c>
      <c r="C10" s="2" t="s">
        <v>12</v>
      </c>
      <c r="D10" s="2" t="s">
        <v>69</v>
      </c>
      <c r="E10" s="2" t="s">
        <v>70</v>
      </c>
      <c r="F10" s="2" t="s">
        <v>53</v>
      </c>
      <c r="G10" s="3" t="n">
        <v>2671.35452913507</v>
      </c>
      <c r="H10" s="2" t="s">
        <v>16</v>
      </c>
      <c r="I10" s="2" t="s">
        <v>71</v>
      </c>
      <c r="J10" s="2" t="s">
        <v>26</v>
      </c>
      <c r="K10" s="2" t="s">
        <v>35</v>
      </c>
    </row>
    <row r="11" customFormat="false" ht="15" hidden="false" customHeight="false" outlineLevel="0" collapsed="false">
      <c r="A11" s="2" t="n">
        <v>10</v>
      </c>
      <c r="B11" s="2" t="s">
        <v>72</v>
      </c>
      <c r="C11" s="2" t="s">
        <v>56</v>
      </c>
      <c r="D11" s="2" t="s">
        <v>69</v>
      </c>
      <c r="E11" s="2" t="s">
        <v>73</v>
      </c>
      <c r="F11" s="2" t="s">
        <v>74</v>
      </c>
      <c r="G11" s="3" t="n">
        <v>962.025013876193</v>
      </c>
      <c r="H11" s="2" t="s">
        <v>32</v>
      </c>
      <c r="I11" s="2" t="s">
        <v>75</v>
      </c>
      <c r="J11" s="2" t="s">
        <v>76</v>
      </c>
      <c r="K11" s="2" t="s">
        <v>42</v>
      </c>
    </row>
    <row r="12" customFormat="false" ht="15" hidden="false" customHeight="false" outlineLevel="0" collapsed="false">
      <c r="A12" s="2" t="n">
        <v>11</v>
      </c>
      <c r="B12" s="2" t="s">
        <v>77</v>
      </c>
      <c r="C12" s="2" t="s">
        <v>21</v>
      </c>
      <c r="D12" s="2" t="s">
        <v>29</v>
      </c>
      <c r="E12" s="2" t="s">
        <v>78</v>
      </c>
      <c r="F12" s="2" t="s">
        <v>74</v>
      </c>
      <c r="G12" s="3" t="n">
        <v>3434.82112394496</v>
      </c>
      <c r="H12" s="2" t="s">
        <v>16</v>
      </c>
      <c r="I12" s="2" t="s">
        <v>79</v>
      </c>
      <c r="J12" s="2" t="s">
        <v>26</v>
      </c>
      <c r="K12" s="2" t="s">
        <v>42</v>
      </c>
    </row>
    <row r="13" customFormat="false" ht="15" hidden="false" customHeight="false" outlineLevel="0" collapsed="false">
      <c r="A13" s="2" t="n">
        <v>12</v>
      </c>
      <c r="B13" s="2" t="s">
        <v>80</v>
      </c>
      <c r="C13" s="2" t="s">
        <v>21</v>
      </c>
      <c r="D13" s="2" t="s">
        <v>29</v>
      </c>
      <c r="E13" s="2" t="s">
        <v>81</v>
      </c>
      <c r="F13" s="2" t="s">
        <v>82</v>
      </c>
      <c r="G13" s="3" t="n">
        <v>3025.14323834668</v>
      </c>
      <c r="H13" s="2" t="s">
        <v>47</v>
      </c>
      <c r="I13" s="2" t="s">
        <v>83</v>
      </c>
      <c r="J13" s="2" t="s">
        <v>26</v>
      </c>
      <c r="K13" s="2" t="s">
        <v>19</v>
      </c>
    </row>
    <row r="14" customFormat="false" ht="15" hidden="false" customHeight="false" outlineLevel="0" collapsed="false">
      <c r="A14" s="2" t="n">
        <v>13</v>
      </c>
      <c r="B14" s="2" t="s">
        <v>84</v>
      </c>
      <c r="C14" s="2" t="s">
        <v>12</v>
      </c>
      <c r="D14" s="2" t="s">
        <v>63</v>
      </c>
      <c r="E14" s="2" t="s">
        <v>85</v>
      </c>
      <c r="F14" s="2" t="s">
        <v>82</v>
      </c>
      <c r="G14" s="3" t="n">
        <v>651.876420610226</v>
      </c>
      <c r="H14" s="2" t="s">
        <v>16</v>
      </c>
      <c r="I14" s="2" t="s">
        <v>86</v>
      </c>
      <c r="J14" s="2" t="s">
        <v>18</v>
      </c>
      <c r="K14" s="2" t="s">
        <v>35</v>
      </c>
    </row>
    <row r="15" customFormat="false" ht="15" hidden="false" customHeight="false" outlineLevel="0" collapsed="false">
      <c r="A15" s="2" t="n">
        <v>14</v>
      </c>
      <c r="B15" s="2" t="s">
        <v>87</v>
      </c>
      <c r="C15" s="2" t="s">
        <v>37</v>
      </c>
      <c r="D15" s="2" t="s">
        <v>38</v>
      </c>
      <c r="E15" s="2" t="s">
        <v>88</v>
      </c>
      <c r="F15" s="2" t="s">
        <v>89</v>
      </c>
      <c r="G15" s="3" t="n">
        <v>3081.07661652767</v>
      </c>
      <c r="H15" s="2" t="s">
        <v>12</v>
      </c>
      <c r="I15" s="2" t="s">
        <v>90</v>
      </c>
      <c r="J15" s="2" t="s">
        <v>26</v>
      </c>
      <c r="K15" s="2" t="s">
        <v>19</v>
      </c>
    </row>
    <row r="16" customFormat="false" ht="15" hidden="false" customHeight="false" outlineLevel="0" collapsed="false">
      <c r="A16" s="2" t="n">
        <v>15</v>
      </c>
      <c r="B16" s="2" t="s">
        <v>91</v>
      </c>
      <c r="C16" s="2" t="s">
        <v>92</v>
      </c>
      <c r="D16" s="2" t="s">
        <v>93</v>
      </c>
      <c r="E16" s="2" t="s">
        <v>94</v>
      </c>
      <c r="F16" s="2" t="s">
        <v>65</v>
      </c>
      <c r="G16" s="3" t="n">
        <v>8436.34574630839</v>
      </c>
      <c r="H16" s="2" t="s">
        <v>16</v>
      </c>
      <c r="I16" s="2" t="s">
        <v>95</v>
      </c>
      <c r="J16" s="2" t="s">
        <v>18</v>
      </c>
      <c r="K16" s="2" t="s">
        <v>27</v>
      </c>
    </row>
    <row r="17" customFormat="false" ht="15" hidden="false" customHeight="false" outlineLevel="0" collapsed="false">
      <c r="A17" s="2" t="n">
        <v>16</v>
      </c>
      <c r="B17" s="2" t="s">
        <v>96</v>
      </c>
      <c r="C17" s="2" t="s">
        <v>66</v>
      </c>
      <c r="D17" s="2" t="s">
        <v>97</v>
      </c>
      <c r="E17" s="2" t="s">
        <v>98</v>
      </c>
      <c r="F17" s="2" t="s">
        <v>99</v>
      </c>
      <c r="G17" s="3" t="n">
        <v>4157.8754719215</v>
      </c>
      <c r="H17" s="2" t="s">
        <v>100</v>
      </c>
      <c r="I17" s="2" t="s">
        <v>101</v>
      </c>
      <c r="J17" s="2" t="s">
        <v>18</v>
      </c>
      <c r="K17" s="2" t="s">
        <v>27</v>
      </c>
    </row>
    <row r="18" customFormat="false" ht="15" hidden="false" customHeight="false" outlineLevel="0" collapsed="false">
      <c r="A18" s="2" t="n">
        <v>17</v>
      </c>
      <c r="B18" s="2" t="s">
        <v>102</v>
      </c>
      <c r="C18" s="2" t="s">
        <v>50</v>
      </c>
      <c r="D18" s="2" t="s">
        <v>103</v>
      </c>
      <c r="E18" s="2" t="s">
        <v>104</v>
      </c>
      <c r="F18" s="2" t="s">
        <v>74</v>
      </c>
      <c r="G18" s="3" t="n">
        <v>2165.63657604567</v>
      </c>
      <c r="H18" s="2" t="s">
        <v>100</v>
      </c>
      <c r="I18" s="2" t="s">
        <v>105</v>
      </c>
      <c r="J18" s="2" t="s">
        <v>61</v>
      </c>
      <c r="K18" s="2" t="s">
        <v>35</v>
      </c>
    </row>
    <row r="19" customFormat="false" ht="15" hidden="false" customHeight="false" outlineLevel="0" collapsed="false">
      <c r="A19" s="2" t="n">
        <v>18</v>
      </c>
      <c r="B19" s="2" t="s">
        <v>106</v>
      </c>
      <c r="C19" s="2" t="s">
        <v>37</v>
      </c>
      <c r="D19" s="2" t="s">
        <v>38</v>
      </c>
      <c r="E19" s="2" t="s">
        <v>107</v>
      </c>
      <c r="F19" s="2" t="s">
        <v>74</v>
      </c>
      <c r="G19" s="3" t="n">
        <v>1814.04699388952</v>
      </c>
      <c r="H19" s="2" t="s">
        <v>12</v>
      </c>
      <c r="I19" s="2" t="s">
        <v>108</v>
      </c>
      <c r="J19" s="2" t="s">
        <v>76</v>
      </c>
      <c r="K19" s="2" t="s">
        <v>19</v>
      </c>
    </row>
    <row r="20" customFormat="false" ht="15" hidden="false" customHeight="false" outlineLevel="0" collapsed="false">
      <c r="A20" s="2" t="n">
        <v>19</v>
      </c>
      <c r="B20" s="2" t="s">
        <v>109</v>
      </c>
      <c r="C20" s="2" t="s">
        <v>12</v>
      </c>
      <c r="D20" s="2" t="s">
        <v>63</v>
      </c>
      <c r="E20" s="2" t="s">
        <v>110</v>
      </c>
      <c r="F20" s="2" t="s">
        <v>82</v>
      </c>
      <c r="G20" s="3" t="n">
        <v>236.792193865336</v>
      </c>
      <c r="H20" s="2" t="s">
        <v>66</v>
      </c>
      <c r="I20" s="2" t="s">
        <v>111</v>
      </c>
      <c r="J20" s="2" t="s">
        <v>34</v>
      </c>
      <c r="K20" s="2" t="s">
        <v>19</v>
      </c>
    </row>
    <row r="21" customFormat="false" ht="15" hidden="false" customHeight="false" outlineLevel="0" collapsed="false">
      <c r="A21" s="2" t="n">
        <v>20</v>
      </c>
      <c r="B21" s="2" t="s">
        <v>112</v>
      </c>
      <c r="C21" s="2" t="s">
        <v>56</v>
      </c>
      <c r="D21" s="2" t="s">
        <v>113</v>
      </c>
      <c r="E21" s="2" t="s">
        <v>114</v>
      </c>
      <c r="F21" s="2" t="s">
        <v>65</v>
      </c>
      <c r="G21" s="3" t="n">
        <v>1467.38781457794</v>
      </c>
      <c r="H21" s="2" t="s">
        <v>32</v>
      </c>
      <c r="I21" s="2" t="s">
        <v>115</v>
      </c>
      <c r="J21" s="2" t="s">
        <v>34</v>
      </c>
      <c r="K21" s="2" t="s">
        <v>42</v>
      </c>
    </row>
    <row r="22" customFormat="false" ht="15" hidden="false" customHeight="false" outlineLevel="0" collapsed="false">
      <c r="A22" s="2" t="n">
        <v>21</v>
      </c>
      <c r="B22" s="2" t="s">
        <v>116</v>
      </c>
      <c r="C22" s="2" t="s">
        <v>56</v>
      </c>
      <c r="D22" s="2" t="s">
        <v>69</v>
      </c>
      <c r="E22" s="2" t="s">
        <v>117</v>
      </c>
      <c r="F22" s="2" t="s">
        <v>89</v>
      </c>
      <c r="G22" s="3" t="n">
        <v>2596.58405520269</v>
      </c>
      <c r="H22" s="2" t="s">
        <v>12</v>
      </c>
      <c r="I22" s="2" t="s">
        <v>118</v>
      </c>
      <c r="J22" s="2" t="s">
        <v>61</v>
      </c>
      <c r="K22" s="2" t="s">
        <v>19</v>
      </c>
    </row>
    <row r="23" customFormat="false" ht="15" hidden="false" customHeight="false" outlineLevel="0" collapsed="false">
      <c r="A23" s="2" t="n">
        <v>22</v>
      </c>
      <c r="B23" s="2" t="s">
        <v>119</v>
      </c>
      <c r="C23" s="2" t="s">
        <v>66</v>
      </c>
      <c r="D23" s="2" t="s">
        <v>120</v>
      </c>
      <c r="E23" s="2" t="s">
        <v>121</v>
      </c>
      <c r="F23" s="2" t="s">
        <v>122</v>
      </c>
      <c r="G23" s="3" t="n">
        <v>2130.19324496875</v>
      </c>
      <c r="H23" s="2" t="s">
        <v>123</v>
      </c>
      <c r="I23" s="2" t="s">
        <v>124</v>
      </c>
      <c r="J23" s="2" t="s">
        <v>34</v>
      </c>
      <c r="K23" s="2" t="s">
        <v>19</v>
      </c>
    </row>
    <row r="24" customFormat="false" ht="15" hidden="false" customHeight="false" outlineLevel="0" collapsed="false">
      <c r="A24" s="2" t="n">
        <v>23</v>
      </c>
      <c r="B24" s="2" t="s">
        <v>125</v>
      </c>
      <c r="C24" s="2" t="s">
        <v>37</v>
      </c>
      <c r="D24" s="2" t="s">
        <v>38</v>
      </c>
      <c r="E24" s="2" t="s">
        <v>126</v>
      </c>
      <c r="F24" s="2" t="s">
        <v>24</v>
      </c>
      <c r="G24" s="3" t="n">
        <v>4141.93391480575</v>
      </c>
      <c r="H24" s="2" t="s">
        <v>12</v>
      </c>
      <c r="I24" s="2" t="s">
        <v>127</v>
      </c>
      <c r="J24" s="2" t="s">
        <v>61</v>
      </c>
      <c r="K24" s="2" t="s">
        <v>27</v>
      </c>
    </row>
    <row r="25" customFormat="false" ht="15" hidden="false" customHeight="false" outlineLevel="0" collapsed="false">
      <c r="A25" s="2" t="n">
        <v>24</v>
      </c>
      <c r="B25" s="2" t="s">
        <v>128</v>
      </c>
      <c r="C25" s="2" t="s">
        <v>12</v>
      </c>
      <c r="D25" s="2" t="s">
        <v>129</v>
      </c>
      <c r="E25" s="2" t="s">
        <v>130</v>
      </c>
      <c r="F25" s="2" t="s">
        <v>46</v>
      </c>
      <c r="G25" s="3" t="n">
        <v>357.984739598824</v>
      </c>
      <c r="H25" s="2" t="s">
        <v>32</v>
      </c>
      <c r="I25" s="2" t="s">
        <v>131</v>
      </c>
      <c r="J25" s="2" t="s">
        <v>26</v>
      </c>
      <c r="K25" s="2" t="s">
        <v>42</v>
      </c>
    </row>
    <row r="26" customFormat="false" ht="15" hidden="false" customHeight="false" outlineLevel="0" collapsed="false">
      <c r="A26" s="2" t="n">
        <v>25</v>
      </c>
      <c r="B26" s="2" t="s">
        <v>132</v>
      </c>
      <c r="C26" s="2" t="s">
        <v>37</v>
      </c>
      <c r="D26" s="2" t="s">
        <v>44</v>
      </c>
      <c r="E26" s="2" t="s">
        <v>133</v>
      </c>
      <c r="F26" s="2" t="s">
        <v>74</v>
      </c>
      <c r="G26" s="3" t="n">
        <v>2882.06876182617</v>
      </c>
      <c r="H26" s="2" t="s">
        <v>12</v>
      </c>
      <c r="I26" s="2" t="s">
        <v>134</v>
      </c>
      <c r="J26" s="2" t="s">
        <v>34</v>
      </c>
      <c r="K26" s="2" t="s">
        <v>35</v>
      </c>
    </row>
    <row r="27" customFormat="false" ht="15" hidden="false" customHeight="false" outlineLevel="0" collapsed="false">
      <c r="A27" s="2" t="n">
        <v>26</v>
      </c>
      <c r="B27" s="2" t="s">
        <v>135</v>
      </c>
      <c r="C27" s="2" t="s">
        <v>50</v>
      </c>
      <c r="D27" s="2" t="s">
        <v>103</v>
      </c>
      <c r="E27" s="2" t="s">
        <v>136</v>
      </c>
      <c r="F27" s="2" t="s">
        <v>59</v>
      </c>
      <c r="G27" s="3" t="n">
        <v>801.619400201458</v>
      </c>
      <c r="H27" s="2" t="s">
        <v>32</v>
      </c>
      <c r="I27" s="2" t="s">
        <v>137</v>
      </c>
      <c r="J27" s="2" t="s">
        <v>26</v>
      </c>
      <c r="K27" s="2" t="s">
        <v>35</v>
      </c>
    </row>
    <row r="28" customFormat="false" ht="15" hidden="false" customHeight="false" outlineLevel="0" collapsed="false">
      <c r="A28" s="2" t="n">
        <v>27</v>
      </c>
      <c r="B28" s="2" t="s">
        <v>138</v>
      </c>
      <c r="C28" s="2" t="s">
        <v>37</v>
      </c>
      <c r="D28" s="2" t="s">
        <v>139</v>
      </c>
      <c r="E28" s="2" t="s">
        <v>140</v>
      </c>
      <c r="F28" s="2" t="s">
        <v>59</v>
      </c>
      <c r="G28" s="3" t="n">
        <v>4968.40637055518</v>
      </c>
      <c r="H28" s="2" t="s">
        <v>100</v>
      </c>
      <c r="I28" s="2" t="s">
        <v>141</v>
      </c>
      <c r="J28" s="2" t="s">
        <v>61</v>
      </c>
      <c r="K28" s="2" t="s">
        <v>19</v>
      </c>
    </row>
    <row r="29" customFormat="false" ht="15" hidden="false" customHeight="false" outlineLevel="0" collapsed="false">
      <c r="A29" s="2" t="n">
        <v>28</v>
      </c>
      <c r="B29" s="2" t="s">
        <v>142</v>
      </c>
      <c r="C29" s="2" t="s">
        <v>66</v>
      </c>
      <c r="D29" s="2" t="s">
        <v>120</v>
      </c>
      <c r="E29" s="2" t="s">
        <v>143</v>
      </c>
      <c r="F29" s="2" t="s">
        <v>122</v>
      </c>
      <c r="G29" s="3" t="n">
        <v>2620.78007876966</v>
      </c>
      <c r="H29" s="2" t="s">
        <v>123</v>
      </c>
      <c r="I29" s="2" t="s">
        <v>144</v>
      </c>
      <c r="J29" s="2" t="s">
        <v>26</v>
      </c>
      <c r="K29" s="2" t="s">
        <v>27</v>
      </c>
    </row>
    <row r="30" customFormat="false" ht="15" hidden="false" customHeight="false" outlineLevel="0" collapsed="false">
      <c r="A30" s="2" t="n">
        <v>29</v>
      </c>
      <c r="B30" s="2" t="s">
        <v>145</v>
      </c>
      <c r="C30" s="2" t="s">
        <v>92</v>
      </c>
      <c r="D30" s="2" t="s">
        <v>146</v>
      </c>
      <c r="E30" s="2" t="s">
        <v>147</v>
      </c>
      <c r="F30" s="2" t="s">
        <v>148</v>
      </c>
      <c r="G30" s="3" t="n">
        <v>0</v>
      </c>
      <c r="H30" s="2" t="s">
        <v>100</v>
      </c>
      <c r="I30" s="2" t="s">
        <v>149</v>
      </c>
      <c r="J30" s="2" t="s">
        <v>26</v>
      </c>
      <c r="K30" s="2" t="s">
        <v>42</v>
      </c>
    </row>
    <row r="31" customFormat="false" ht="15" hidden="false" customHeight="false" outlineLevel="0" collapsed="false">
      <c r="A31" s="2" t="n">
        <v>30</v>
      </c>
      <c r="B31" s="2" t="s">
        <v>150</v>
      </c>
      <c r="C31" s="2" t="s">
        <v>92</v>
      </c>
      <c r="D31" s="2" t="s">
        <v>151</v>
      </c>
      <c r="E31" s="2" t="s">
        <v>152</v>
      </c>
      <c r="F31" s="2" t="s">
        <v>65</v>
      </c>
      <c r="G31" s="3" t="n">
        <v>558.581215594128</v>
      </c>
      <c r="H31" s="2" t="s">
        <v>32</v>
      </c>
      <c r="I31" s="2" t="s">
        <v>153</v>
      </c>
      <c r="J31" s="2" t="s">
        <v>18</v>
      </c>
      <c r="K31" s="2" t="s">
        <v>35</v>
      </c>
    </row>
    <row r="32" customFormat="false" ht="15" hidden="false" customHeight="false" outlineLevel="0" collapsed="false">
      <c r="A32" s="2" t="n">
        <v>31</v>
      </c>
      <c r="B32" s="2" t="s">
        <v>154</v>
      </c>
      <c r="C32" s="2" t="s">
        <v>21</v>
      </c>
      <c r="D32" s="2" t="s">
        <v>155</v>
      </c>
      <c r="E32" s="2" t="s">
        <v>156</v>
      </c>
      <c r="F32" s="2" t="s">
        <v>74</v>
      </c>
      <c r="G32" s="3" t="n">
        <v>1005.38780783433</v>
      </c>
      <c r="H32" s="2" t="s">
        <v>100</v>
      </c>
      <c r="I32" s="2" t="s">
        <v>157</v>
      </c>
      <c r="J32" s="2" t="s">
        <v>18</v>
      </c>
      <c r="K32" s="2" t="s">
        <v>42</v>
      </c>
    </row>
    <row r="33" customFormat="false" ht="15" hidden="false" customHeight="false" outlineLevel="0" collapsed="false">
      <c r="A33" s="2" t="n">
        <v>32</v>
      </c>
      <c r="B33" s="2" t="s">
        <v>158</v>
      </c>
      <c r="C33" s="2" t="s">
        <v>21</v>
      </c>
      <c r="D33" s="2" t="s">
        <v>155</v>
      </c>
      <c r="E33" s="2" t="s">
        <v>159</v>
      </c>
      <c r="F33" s="2" t="s">
        <v>160</v>
      </c>
      <c r="G33" s="3" t="n">
        <v>2890.14891188385</v>
      </c>
      <c r="H33" s="2" t="s">
        <v>12</v>
      </c>
      <c r="I33" s="2" t="s">
        <v>161</v>
      </c>
      <c r="J33" s="2" t="s">
        <v>61</v>
      </c>
      <c r="K33" s="2" t="s">
        <v>27</v>
      </c>
    </row>
    <row r="34" customFormat="false" ht="15" hidden="false" customHeight="false" outlineLevel="0" collapsed="false">
      <c r="A34" s="2" t="n">
        <v>33</v>
      </c>
      <c r="B34" s="2" t="s">
        <v>162</v>
      </c>
      <c r="C34" s="2" t="s">
        <v>21</v>
      </c>
      <c r="D34" s="2" t="s">
        <v>22</v>
      </c>
      <c r="E34" s="2" t="s">
        <v>163</v>
      </c>
      <c r="F34" s="2" t="s">
        <v>24</v>
      </c>
      <c r="G34" s="3" t="n">
        <v>8310.33005741724</v>
      </c>
      <c r="H34" s="2" t="s">
        <v>100</v>
      </c>
      <c r="I34" s="2" t="s">
        <v>164</v>
      </c>
      <c r="J34" s="2" t="s">
        <v>34</v>
      </c>
      <c r="K34" s="2" t="s">
        <v>42</v>
      </c>
    </row>
    <row r="35" customFormat="false" ht="15" hidden="false" customHeight="false" outlineLevel="0" collapsed="false">
      <c r="A35" s="2" t="n">
        <v>34</v>
      </c>
      <c r="B35" s="2" t="s">
        <v>165</v>
      </c>
      <c r="C35" s="2" t="s">
        <v>166</v>
      </c>
      <c r="D35" s="2" t="s">
        <v>167</v>
      </c>
      <c r="E35" s="2" t="s">
        <v>168</v>
      </c>
      <c r="F35" s="2" t="s">
        <v>148</v>
      </c>
      <c r="G35" s="3" t="n">
        <v>978.532682229066</v>
      </c>
      <c r="H35" s="2" t="s">
        <v>16</v>
      </c>
      <c r="I35" s="2" t="s">
        <v>169</v>
      </c>
      <c r="J35" s="2" t="s">
        <v>61</v>
      </c>
      <c r="K35" s="2" t="s">
        <v>19</v>
      </c>
    </row>
    <row r="36" customFormat="false" ht="15" hidden="false" customHeight="false" outlineLevel="0" collapsed="false">
      <c r="A36" s="2" t="n">
        <v>35</v>
      </c>
      <c r="B36" s="2" t="s">
        <v>138</v>
      </c>
      <c r="C36" s="2" t="s">
        <v>12</v>
      </c>
      <c r="D36" s="2" t="s">
        <v>69</v>
      </c>
      <c r="E36" s="2" t="s">
        <v>170</v>
      </c>
      <c r="F36" s="2" t="s">
        <v>82</v>
      </c>
      <c r="G36" s="3" t="n">
        <v>1730.54325975665</v>
      </c>
      <c r="H36" s="2" t="s">
        <v>123</v>
      </c>
      <c r="I36" s="2" t="s">
        <v>171</v>
      </c>
      <c r="J36" s="2" t="s">
        <v>76</v>
      </c>
      <c r="K36" s="2" t="s">
        <v>19</v>
      </c>
    </row>
    <row r="37" customFormat="false" ht="15" hidden="false" customHeight="false" outlineLevel="0" collapsed="false">
      <c r="A37" s="2" t="n">
        <v>36</v>
      </c>
      <c r="B37" s="2" t="s">
        <v>172</v>
      </c>
      <c r="C37" s="2" t="s">
        <v>92</v>
      </c>
      <c r="D37" s="2" t="s">
        <v>146</v>
      </c>
      <c r="E37" s="2" t="s">
        <v>173</v>
      </c>
      <c r="F37" s="2" t="s">
        <v>46</v>
      </c>
      <c r="G37" s="3" t="n">
        <v>1890.15234103087</v>
      </c>
      <c r="H37" s="2" t="s">
        <v>66</v>
      </c>
      <c r="I37" s="2" t="s">
        <v>174</v>
      </c>
      <c r="J37" s="2" t="s">
        <v>26</v>
      </c>
      <c r="K37" s="2" t="s">
        <v>27</v>
      </c>
    </row>
    <row r="38" customFormat="false" ht="15" hidden="false" customHeight="false" outlineLevel="0" collapsed="false">
      <c r="A38" s="2" t="n">
        <v>37</v>
      </c>
      <c r="B38" s="2" t="s">
        <v>175</v>
      </c>
      <c r="C38" s="2" t="s">
        <v>92</v>
      </c>
      <c r="D38" s="2" t="s">
        <v>151</v>
      </c>
      <c r="E38" s="2" t="s">
        <v>176</v>
      </c>
      <c r="F38" s="2" t="s">
        <v>160</v>
      </c>
      <c r="G38" s="3" t="n">
        <v>363.273517101166</v>
      </c>
      <c r="H38" s="2" t="s">
        <v>66</v>
      </c>
      <c r="I38" s="2" t="s">
        <v>177</v>
      </c>
      <c r="J38" s="2" t="s">
        <v>34</v>
      </c>
      <c r="K38" s="2" t="s">
        <v>27</v>
      </c>
    </row>
    <row r="39" customFormat="false" ht="15" hidden="false" customHeight="false" outlineLevel="0" collapsed="false">
      <c r="A39" s="2" t="n">
        <v>38</v>
      </c>
      <c r="B39" s="2" t="s">
        <v>178</v>
      </c>
      <c r="C39" s="2" t="s">
        <v>21</v>
      </c>
      <c r="D39" s="2" t="s">
        <v>22</v>
      </c>
      <c r="E39" s="2" t="s">
        <v>179</v>
      </c>
      <c r="F39" s="2" t="s">
        <v>59</v>
      </c>
      <c r="G39" s="3" t="n">
        <v>11989.0782593409</v>
      </c>
      <c r="H39" s="2" t="s">
        <v>66</v>
      </c>
      <c r="I39" s="2" t="s">
        <v>180</v>
      </c>
      <c r="J39" s="2" t="s">
        <v>61</v>
      </c>
      <c r="K39" s="2" t="s">
        <v>27</v>
      </c>
    </row>
    <row r="40" customFormat="false" ht="15" hidden="false" customHeight="false" outlineLevel="0" collapsed="false">
      <c r="A40" s="2" t="n">
        <v>39</v>
      </c>
      <c r="B40" s="2" t="s">
        <v>181</v>
      </c>
      <c r="C40" s="2" t="s">
        <v>37</v>
      </c>
      <c r="D40" s="2" t="s">
        <v>182</v>
      </c>
      <c r="E40" s="2" t="s">
        <v>183</v>
      </c>
      <c r="F40" s="2" t="s">
        <v>122</v>
      </c>
      <c r="G40" s="3" t="n">
        <v>4782.74190793228</v>
      </c>
      <c r="H40" s="2" t="s">
        <v>100</v>
      </c>
      <c r="I40" s="2" t="s">
        <v>184</v>
      </c>
      <c r="J40" s="2" t="s">
        <v>26</v>
      </c>
      <c r="K40" s="2" t="s">
        <v>35</v>
      </c>
    </row>
    <row r="41" customFormat="false" ht="15" hidden="false" customHeight="false" outlineLevel="0" collapsed="false">
      <c r="A41" s="2" t="n">
        <v>40</v>
      </c>
      <c r="B41" s="2" t="s">
        <v>185</v>
      </c>
      <c r="C41" s="2" t="s">
        <v>66</v>
      </c>
      <c r="D41" s="2" t="s">
        <v>186</v>
      </c>
      <c r="E41" s="2" t="s">
        <v>187</v>
      </c>
      <c r="F41" s="2" t="s">
        <v>74</v>
      </c>
      <c r="G41" s="3" t="n">
        <v>1142.8227643288</v>
      </c>
      <c r="H41" s="2" t="s">
        <v>100</v>
      </c>
      <c r="I41" s="2" t="s">
        <v>188</v>
      </c>
      <c r="J41" s="2" t="s">
        <v>34</v>
      </c>
      <c r="K41" s="2" t="s">
        <v>19</v>
      </c>
    </row>
    <row r="42" customFormat="false" ht="15" hidden="false" customHeight="false" outlineLevel="0" collapsed="false">
      <c r="A42" s="2" t="n">
        <v>41</v>
      </c>
      <c r="B42" s="2" t="s">
        <v>189</v>
      </c>
      <c r="C42" s="2" t="s">
        <v>37</v>
      </c>
      <c r="D42" s="2" t="s">
        <v>44</v>
      </c>
      <c r="E42" s="2" t="s">
        <v>190</v>
      </c>
      <c r="F42" s="2" t="s">
        <v>191</v>
      </c>
      <c r="G42" s="3" t="n">
        <v>2451.51744598025</v>
      </c>
      <c r="H42" s="2" t="s">
        <v>16</v>
      </c>
      <c r="I42" s="2" t="s">
        <v>192</v>
      </c>
      <c r="J42" s="2" t="s">
        <v>61</v>
      </c>
      <c r="K42" s="2" t="s">
        <v>42</v>
      </c>
    </row>
    <row r="43" customFormat="false" ht="15" hidden="false" customHeight="false" outlineLevel="0" collapsed="false">
      <c r="A43" s="2" t="n">
        <v>42</v>
      </c>
      <c r="B43" s="2" t="s">
        <v>193</v>
      </c>
      <c r="C43" s="2" t="s">
        <v>92</v>
      </c>
      <c r="D43" s="2" t="s">
        <v>151</v>
      </c>
      <c r="E43" s="2" t="s">
        <v>194</v>
      </c>
      <c r="F43" s="2" t="s">
        <v>74</v>
      </c>
      <c r="G43" s="3" t="n">
        <v>54886.8863393425</v>
      </c>
      <c r="H43" s="2" t="s">
        <v>66</v>
      </c>
      <c r="I43" s="2" t="s">
        <v>195</v>
      </c>
      <c r="J43" s="2" t="s">
        <v>61</v>
      </c>
      <c r="K43" s="2" t="s">
        <v>42</v>
      </c>
    </row>
    <row r="44" customFormat="false" ht="15" hidden="false" customHeight="false" outlineLevel="0" collapsed="false">
      <c r="A44" s="2" t="n">
        <v>43</v>
      </c>
      <c r="B44" s="2" t="s">
        <v>196</v>
      </c>
      <c r="C44" s="2" t="s">
        <v>92</v>
      </c>
      <c r="D44" s="2" t="s">
        <v>151</v>
      </c>
      <c r="E44" s="2" t="s">
        <v>197</v>
      </c>
      <c r="F44" s="2" t="s">
        <v>40</v>
      </c>
      <c r="G44" s="3" t="n">
        <v>4374.06987438861</v>
      </c>
      <c r="H44" s="2" t="s">
        <v>12</v>
      </c>
      <c r="I44" s="2" t="s">
        <v>198</v>
      </c>
      <c r="J44" s="2" t="s">
        <v>34</v>
      </c>
      <c r="K44" s="2" t="s">
        <v>42</v>
      </c>
    </row>
    <row r="45" customFormat="false" ht="15" hidden="false" customHeight="false" outlineLevel="0" collapsed="false">
      <c r="A45" s="2" t="n">
        <v>44</v>
      </c>
      <c r="B45" s="2" t="s">
        <v>199</v>
      </c>
      <c r="C45" s="2" t="s">
        <v>92</v>
      </c>
      <c r="D45" s="2" t="s">
        <v>200</v>
      </c>
      <c r="E45" s="2" t="s">
        <v>201</v>
      </c>
      <c r="F45" s="2" t="s">
        <v>15</v>
      </c>
      <c r="G45" s="3" t="n">
        <v>1108.81881775842</v>
      </c>
      <c r="H45" s="2" t="s">
        <v>12</v>
      </c>
      <c r="I45" s="2" t="s">
        <v>202</v>
      </c>
      <c r="J45" s="2" t="s">
        <v>76</v>
      </c>
      <c r="K45" s="2" t="s">
        <v>42</v>
      </c>
    </row>
    <row r="46" customFormat="false" ht="15" hidden="false" customHeight="false" outlineLevel="0" collapsed="false">
      <c r="A46" s="2" t="n">
        <v>44</v>
      </c>
      <c r="B46" s="2" t="s">
        <v>203</v>
      </c>
      <c r="C46" s="2" t="s">
        <v>37</v>
      </c>
      <c r="D46" s="2" t="s">
        <v>44</v>
      </c>
      <c r="E46" s="2" t="s">
        <v>204</v>
      </c>
      <c r="F46" s="2" t="s">
        <v>99</v>
      </c>
      <c r="G46" s="3" t="n">
        <v>985.794904395715</v>
      </c>
      <c r="H46" s="2" t="s">
        <v>47</v>
      </c>
      <c r="I46" s="2" t="s">
        <v>205</v>
      </c>
      <c r="J46" s="2" t="s">
        <v>26</v>
      </c>
      <c r="K46" s="2" t="s">
        <v>35</v>
      </c>
    </row>
    <row r="47" customFormat="false" ht="15" hidden="false" customHeight="false" outlineLevel="0" collapsed="false">
      <c r="A47" s="2" t="n">
        <v>46</v>
      </c>
      <c r="B47" s="2" t="s">
        <v>206</v>
      </c>
      <c r="C47" s="2" t="s">
        <v>66</v>
      </c>
      <c r="D47" s="2" t="s">
        <v>207</v>
      </c>
      <c r="E47" s="2" t="s">
        <v>208</v>
      </c>
      <c r="F47" s="2" t="s">
        <v>31</v>
      </c>
      <c r="G47" s="3" t="n">
        <v>2227.69669381055</v>
      </c>
      <c r="H47" s="2" t="s">
        <v>66</v>
      </c>
      <c r="I47" s="2" t="s">
        <v>209</v>
      </c>
      <c r="J47" s="2" t="s">
        <v>61</v>
      </c>
      <c r="K47" s="2" t="s">
        <v>19</v>
      </c>
    </row>
    <row r="48" customFormat="false" ht="15" hidden="false" customHeight="false" outlineLevel="0" collapsed="false">
      <c r="A48" s="2" t="n">
        <v>47</v>
      </c>
      <c r="B48" s="2" t="s">
        <v>210</v>
      </c>
      <c r="C48" s="2" t="s">
        <v>21</v>
      </c>
      <c r="D48" s="2" t="s">
        <v>29</v>
      </c>
      <c r="E48" s="2" t="s">
        <v>211</v>
      </c>
      <c r="F48" s="2" t="s">
        <v>99</v>
      </c>
      <c r="G48" s="3" t="n">
        <v>3624.32905946762</v>
      </c>
      <c r="H48" s="2" t="s">
        <v>66</v>
      </c>
      <c r="I48" s="2" t="s">
        <v>212</v>
      </c>
      <c r="J48" s="2" t="s">
        <v>18</v>
      </c>
      <c r="K48" s="2" t="s">
        <v>19</v>
      </c>
    </row>
    <row r="49" customFormat="false" ht="15" hidden="false" customHeight="false" outlineLevel="0" collapsed="false">
      <c r="A49" s="2" t="n">
        <v>48</v>
      </c>
      <c r="B49" s="2" t="s">
        <v>213</v>
      </c>
      <c r="C49" s="2" t="s">
        <v>37</v>
      </c>
      <c r="D49" s="2" t="s">
        <v>38</v>
      </c>
      <c r="E49" s="2" t="s">
        <v>214</v>
      </c>
      <c r="F49" s="2" t="s">
        <v>148</v>
      </c>
      <c r="G49" s="3" t="n">
        <v>3327.55713326843</v>
      </c>
      <c r="H49" s="2" t="s">
        <v>66</v>
      </c>
      <c r="I49" s="2" t="s">
        <v>215</v>
      </c>
      <c r="J49" s="2" t="s">
        <v>34</v>
      </c>
      <c r="K49" s="2" t="s">
        <v>19</v>
      </c>
    </row>
    <row r="50" customFormat="false" ht="15" hidden="false" customHeight="false" outlineLevel="0" collapsed="false">
      <c r="A50" s="2" t="n">
        <v>49</v>
      </c>
      <c r="B50" s="2" t="s">
        <v>216</v>
      </c>
      <c r="C50" s="2" t="s">
        <v>50</v>
      </c>
      <c r="D50" s="2" t="s">
        <v>217</v>
      </c>
      <c r="E50" s="2" t="s">
        <v>218</v>
      </c>
      <c r="F50" s="2" t="s">
        <v>89</v>
      </c>
      <c r="G50" s="3" t="n">
        <v>3743.76477233863</v>
      </c>
      <c r="H50" s="2" t="s">
        <v>47</v>
      </c>
      <c r="I50" s="2" t="s">
        <v>219</v>
      </c>
      <c r="J50" s="2" t="s">
        <v>76</v>
      </c>
      <c r="K50" s="2" t="s">
        <v>27</v>
      </c>
    </row>
    <row r="51" customFormat="false" ht="15" hidden="false" customHeight="false" outlineLevel="0" collapsed="false">
      <c r="A51" s="2" t="n">
        <v>50</v>
      </c>
      <c r="B51" s="2" t="s">
        <v>220</v>
      </c>
      <c r="C51" s="2" t="s">
        <v>37</v>
      </c>
      <c r="D51" s="2" t="s">
        <v>182</v>
      </c>
      <c r="E51" s="2" t="s">
        <v>221</v>
      </c>
      <c r="F51" s="2" t="s">
        <v>46</v>
      </c>
      <c r="G51" s="3" t="n">
        <v>532.734870688674</v>
      </c>
      <c r="H51" s="2" t="s">
        <v>47</v>
      </c>
      <c r="I51" s="2" t="s">
        <v>222</v>
      </c>
      <c r="J51" s="2" t="s">
        <v>18</v>
      </c>
      <c r="K51" s="2" t="s">
        <v>19</v>
      </c>
    </row>
    <row r="52" customFormat="false" ht="15" hidden="false" customHeight="false" outlineLevel="0" collapsed="false">
      <c r="A52" s="2" t="n">
        <v>51</v>
      </c>
      <c r="B52" s="2" t="s">
        <v>223</v>
      </c>
      <c r="C52" s="2" t="s">
        <v>92</v>
      </c>
      <c r="D52" s="2" t="s">
        <v>93</v>
      </c>
      <c r="E52" s="2" t="s">
        <v>224</v>
      </c>
      <c r="F52" s="2" t="s">
        <v>122</v>
      </c>
      <c r="G52" s="3" t="n">
        <v>16353.2721325927</v>
      </c>
      <c r="H52" s="2" t="s">
        <v>12</v>
      </c>
      <c r="I52" s="2" t="s">
        <v>225</v>
      </c>
      <c r="J52" s="2" t="s">
        <v>61</v>
      </c>
      <c r="K52" s="2" t="s">
        <v>27</v>
      </c>
    </row>
    <row r="53" customFormat="false" ht="15" hidden="false" customHeight="false" outlineLevel="0" collapsed="false">
      <c r="A53" s="2" t="n">
        <v>52</v>
      </c>
      <c r="B53" s="2" t="s">
        <v>226</v>
      </c>
      <c r="C53" s="2" t="s">
        <v>37</v>
      </c>
      <c r="D53" s="2" t="s">
        <v>139</v>
      </c>
      <c r="E53" s="2" t="s">
        <v>227</v>
      </c>
      <c r="F53" s="2" t="s">
        <v>148</v>
      </c>
      <c r="G53" s="3" t="n">
        <v>4139.98808063467</v>
      </c>
      <c r="H53" s="2" t="s">
        <v>47</v>
      </c>
      <c r="I53" s="2" t="s">
        <v>228</v>
      </c>
      <c r="J53" s="2" t="s">
        <v>34</v>
      </c>
      <c r="K53" s="2" t="s">
        <v>19</v>
      </c>
    </row>
    <row r="54" customFormat="false" ht="15" hidden="false" customHeight="false" outlineLevel="0" collapsed="false">
      <c r="A54" s="2" t="n">
        <v>53</v>
      </c>
      <c r="B54" s="2" t="s">
        <v>229</v>
      </c>
      <c r="C54" s="2" t="s">
        <v>37</v>
      </c>
      <c r="D54" s="2" t="s">
        <v>44</v>
      </c>
      <c r="E54" s="2" t="s">
        <v>230</v>
      </c>
      <c r="F54" s="2" t="s">
        <v>148</v>
      </c>
      <c r="G54" s="3" t="n">
        <v>1523.3609192395</v>
      </c>
      <c r="H54" s="2" t="s">
        <v>47</v>
      </c>
      <c r="I54" s="2" t="s">
        <v>231</v>
      </c>
      <c r="J54" s="2" t="s">
        <v>18</v>
      </c>
      <c r="K54" s="2" t="s">
        <v>35</v>
      </c>
    </row>
    <row r="55" customFormat="false" ht="15" hidden="false" customHeight="false" outlineLevel="0" collapsed="false">
      <c r="A55" s="2" t="n">
        <v>54</v>
      </c>
      <c r="B55" s="2" t="s">
        <v>232</v>
      </c>
      <c r="C55" s="2" t="s">
        <v>92</v>
      </c>
      <c r="D55" s="2" t="s">
        <v>200</v>
      </c>
      <c r="E55" s="2" t="s">
        <v>233</v>
      </c>
      <c r="F55" s="2" t="s">
        <v>46</v>
      </c>
      <c r="G55" s="3" t="n">
        <v>567.409008924659</v>
      </c>
      <c r="H55" s="2" t="s">
        <v>123</v>
      </c>
      <c r="I55" s="2" t="s">
        <v>234</v>
      </c>
      <c r="J55" s="2" t="s">
        <v>26</v>
      </c>
      <c r="K55" s="2" t="s">
        <v>27</v>
      </c>
    </row>
    <row r="56" customFormat="false" ht="15" hidden="false" customHeight="false" outlineLevel="0" collapsed="false">
      <c r="A56" s="2" t="n">
        <v>55</v>
      </c>
      <c r="B56" s="2" t="s">
        <v>235</v>
      </c>
      <c r="C56" s="2" t="s">
        <v>21</v>
      </c>
      <c r="D56" s="2" t="s">
        <v>22</v>
      </c>
      <c r="E56" s="2" t="s">
        <v>236</v>
      </c>
      <c r="F56" s="2" t="s">
        <v>59</v>
      </c>
      <c r="G56" s="3" t="n">
        <v>10720.0648033536</v>
      </c>
      <c r="H56" s="2" t="s">
        <v>12</v>
      </c>
      <c r="I56" s="2" t="s">
        <v>237</v>
      </c>
      <c r="J56" s="2" t="s">
        <v>61</v>
      </c>
      <c r="K56" s="2" t="s">
        <v>27</v>
      </c>
    </row>
    <row r="57" customFormat="false" ht="15" hidden="false" customHeight="false" outlineLevel="0" collapsed="false">
      <c r="A57" s="2" t="n">
        <v>56</v>
      </c>
      <c r="B57" s="2" t="s">
        <v>238</v>
      </c>
      <c r="C57" s="2" t="s">
        <v>37</v>
      </c>
      <c r="D57" s="2" t="s">
        <v>139</v>
      </c>
      <c r="E57" s="2" t="s">
        <v>239</v>
      </c>
      <c r="F57" s="2"/>
      <c r="G57" s="3" t="n">
        <v>1080.65570567691</v>
      </c>
      <c r="H57" s="2" t="s">
        <v>100</v>
      </c>
      <c r="I57" s="2" t="s">
        <v>240</v>
      </c>
      <c r="J57" s="2" t="s">
        <v>61</v>
      </c>
      <c r="K57" s="2" t="s">
        <v>35</v>
      </c>
    </row>
    <row r="58" customFormat="false" ht="15" hidden="false" customHeight="false" outlineLevel="0" collapsed="false">
      <c r="A58" s="2" t="n">
        <v>57</v>
      </c>
      <c r="B58" s="2" t="s">
        <v>241</v>
      </c>
      <c r="C58" s="2" t="s">
        <v>92</v>
      </c>
      <c r="D58" s="2" t="s">
        <v>151</v>
      </c>
      <c r="E58" s="2" t="s">
        <v>242</v>
      </c>
      <c r="F58" s="2" t="s">
        <v>122</v>
      </c>
      <c r="G58" s="3" t="n">
        <v>357.986994446075</v>
      </c>
      <c r="H58" s="2" t="s">
        <v>16</v>
      </c>
      <c r="I58" s="2" t="s">
        <v>243</v>
      </c>
      <c r="J58" s="2" t="s">
        <v>76</v>
      </c>
      <c r="K58" s="2" t="s">
        <v>27</v>
      </c>
    </row>
    <row r="59" customFormat="false" ht="15" hidden="false" customHeight="false" outlineLevel="0" collapsed="false">
      <c r="A59" s="2" t="n">
        <v>58</v>
      </c>
      <c r="B59" s="2" t="s">
        <v>244</v>
      </c>
      <c r="C59" s="2" t="s">
        <v>56</v>
      </c>
      <c r="D59" s="2" t="s">
        <v>113</v>
      </c>
      <c r="E59" s="2" t="s">
        <v>245</v>
      </c>
      <c r="F59" s="2" t="s">
        <v>24</v>
      </c>
      <c r="G59" s="3" t="n">
        <v>520.176347093178</v>
      </c>
      <c r="H59" s="2" t="s">
        <v>123</v>
      </c>
      <c r="I59" s="2" t="s">
        <v>246</v>
      </c>
      <c r="J59" s="2" t="s">
        <v>26</v>
      </c>
      <c r="K59" s="2" t="s">
        <v>27</v>
      </c>
    </row>
    <row r="60" customFormat="false" ht="15" hidden="false" customHeight="false" outlineLevel="0" collapsed="false">
      <c r="A60" s="2" t="n">
        <v>59</v>
      </c>
      <c r="B60" s="2" t="s">
        <v>68</v>
      </c>
      <c r="C60" s="2" t="s">
        <v>66</v>
      </c>
      <c r="D60" s="2" t="s">
        <v>207</v>
      </c>
      <c r="E60" s="2" t="s">
        <v>247</v>
      </c>
      <c r="F60" s="2" t="s">
        <v>74</v>
      </c>
      <c r="G60" s="3" t="n">
        <v>1973.44284042426</v>
      </c>
      <c r="H60" s="2" t="s">
        <v>47</v>
      </c>
      <c r="I60" s="2" t="s">
        <v>248</v>
      </c>
      <c r="J60" s="2" t="s">
        <v>26</v>
      </c>
      <c r="K60" s="2" t="s">
        <v>35</v>
      </c>
    </row>
    <row r="61" customFormat="false" ht="15" hidden="false" customHeight="false" outlineLevel="0" collapsed="false">
      <c r="A61" s="2" t="n">
        <v>60</v>
      </c>
      <c r="B61" s="2" t="s">
        <v>249</v>
      </c>
      <c r="C61" s="2" t="s">
        <v>21</v>
      </c>
      <c r="D61" s="2" t="s">
        <v>29</v>
      </c>
      <c r="E61" s="2" t="s">
        <v>250</v>
      </c>
      <c r="F61" s="2" t="s">
        <v>122</v>
      </c>
      <c r="G61" s="3" t="n">
        <v>4764.0947219307</v>
      </c>
      <c r="H61" s="2" t="s">
        <v>32</v>
      </c>
      <c r="I61" s="2" t="s">
        <v>251</v>
      </c>
      <c r="J61" s="2" t="s">
        <v>76</v>
      </c>
      <c r="K61" s="2" t="s">
        <v>35</v>
      </c>
    </row>
    <row r="62" customFormat="false" ht="15" hidden="false" customHeight="false" outlineLevel="0" collapsed="false">
      <c r="A62" s="2" t="n">
        <v>61</v>
      </c>
      <c r="B62" s="2" t="s">
        <v>252</v>
      </c>
      <c r="C62" s="2" t="s">
        <v>56</v>
      </c>
      <c r="D62" s="2" t="s">
        <v>69</v>
      </c>
      <c r="E62" s="2" t="s">
        <v>253</v>
      </c>
      <c r="F62" s="2" t="s">
        <v>31</v>
      </c>
      <c r="G62" s="3" t="n">
        <v>2736.44278640672</v>
      </c>
      <c r="H62" s="2" t="s">
        <v>123</v>
      </c>
      <c r="I62" s="2"/>
      <c r="J62" s="2" t="s">
        <v>61</v>
      </c>
      <c r="K62" s="2" t="s">
        <v>42</v>
      </c>
    </row>
    <row r="63" customFormat="false" ht="15" hidden="false" customHeight="false" outlineLevel="0" collapsed="false">
      <c r="A63" s="2" t="n">
        <v>62</v>
      </c>
      <c r="B63" s="2" t="s">
        <v>254</v>
      </c>
      <c r="C63" s="2" t="s">
        <v>92</v>
      </c>
      <c r="D63" s="2" t="s">
        <v>200</v>
      </c>
      <c r="E63" s="2" t="s">
        <v>255</v>
      </c>
      <c r="F63" s="2" t="s">
        <v>65</v>
      </c>
      <c r="G63" s="3" t="n">
        <v>4520.92186943087</v>
      </c>
      <c r="H63" s="2" t="s">
        <v>66</v>
      </c>
      <c r="I63" s="2" t="s">
        <v>256</v>
      </c>
      <c r="J63" s="2" t="s">
        <v>34</v>
      </c>
      <c r="K63" s="2" t="s">
        <v>42</v>
      </c>
    </row>
    <row r="64" customFormat="false" ht="15" hidden="false" customHeight="false" outlineLevel="0" collapsed="false">
      <c r="A64" s="2" t="n">
        <v>63</v>
      </c>
      <c r="B64" s="2" t="s">
        <v>257</v>
      </c>
      <c r="C64" s="2" t="s">
        <v>92</v>
      </c>
      <c r="D64" s="2" t="s">
        <v>258</v>
      </c>
      <c r="E64" s="2" t="s">
        <v>259</v>
      </c>
      <c r="F64" s="2" t="s">
        <v>15</v>
      </c>
      <c r="G64" s="3" t="n">
        <v>2492.15042003845</v>
      </c>
      <c r="H64" s="2" t="s">
        <v>66</v>
      </c>
      <c r="I64" s="2" t="s">
        <v>260</v>
      </c>
      <c r="J64" s="2" t="s">
        <v>61</v>
      </c>
      <c r="K64" s="2" t="s">
        <v>19</v>
      </c>
    </row>
    <row r="65" customFormat="false" ht="15" hidden="false" customHeight="false" outlineLevel="0" collapsed="false">
      <c r="A65" s="2" t="n">
        <v>64</v>
      </c>
      <c r="B65" s="2" t="s">
        <v>261</v>
      </c>
      <c r="C65" s="2" t="s">
        <v>66</v>
      </c>
      <c r="D65" s="2" t="s">
        <v>97</v>
      </c>
      <c r="E65" s="2" t="s">
        <v>262</v>
      </c>
      <c r="F65" s="2" t="s">
        <v>15</v>
      </c>
      <c r="G65" s="3" t="n">
        <v>3296.78565770872</v>
      </c>
      <c r="H65" s="2" t="s">
        <v>123</v>
      </c>
      <c r="I65" s="2" t="s">
        <v>263</v>
      </c>
      <c r="J65" s="2" t="s">
        <v>76</v>
      </c>
      <c r="K65" s="2" t="s">
        <v>19</v>
      </c>
    </row>
    <row r="66" customFormat="false" ht="15" hidden="false" customHeight="false" outlineLevel="0" collapsed="false">
      <c r="A66" s="2" t="n">
        <v>65</v>
      </c>
      <c r="B66" s="2" t="s">
        <v>264</v>
      </c>
      <c r="C66" s="2" t="s">
        <v>92</v>
      </c>
      <c r="D66" s="2" t="s">
        <v>258</v>
      </c>
      <c r="E66" s="2" t="s">
        <v>265</v>
      </c>
      <c r="F66" s="2" t="s">
        <v>31</v>
      </c>
      <c r="G66" s="3" t="n">
        <v>2834.49718533918</v>
      </c>
      <c r="H66" s="2" t="s">
        <v>100</v>
      </c>
      <c r="I66" s="2" t="s">
        <v>266</v>
      </c>
      <c r="J66" s="2" t="s">
        <v>26</v>
      </c>
      <c r="K66" s="2" t="s">
        <v>35</v>
      </c>
    </row>
    <row r="67" customFormat="false" ht="15" hidden="false" customHeight="false" outlineLevel="0" collapsed="false">
      <c r="A67" s="2" t="n">
        <v>66</v>
      </c>
      <c r="B67" s="2" t="s">
        <v>267</v>
      </c>
      <c r="C67" s="2" t="s">
        <v>50</v>
      </c>
      <c r="D67" s="2" t="s">
        <v>51</v>
      </c>
      <c r="E67" s="2" t="s">
        <v>268</v>
      </c>
      <c r="F67" s="2" t="s">
        <v>82</v>
      </c>
      <c r="G67" s="3" t="n">
        <v>3535.69365939903</v>
      </c>
      <c r="H67" s="2" t="s">
        <v>123</v>
      </c>
      <c r="I67" s="2" t="s">
        <v>269</v>
      </c>
      <c r="J67" s="2" t="s">
        <v>34</v>
      </c>
      <c r="K67" s="2" t="s">
        <v>19</v>
      </c>
    </row>
    <row r="68" customFormat="false" ht="15" hidden="false" customHeight="false" outlineLevel="0" collapsed="false">
      <c r="A68" s="2" t="n">
        <v>67</v>
      </c>
      <c r="B68" s="2" t="s">
        <v>270</v>
      </c>
      <c r="C68" s="2" t="s">
        <v>50</v>
      </c>
      <c r="D68" s="2" t="s">
        <v>51</v>
      </c>
      <c r="E68" s="2" t="s">
        <v>271</v>
      </c>
      <c r="F68" s="2" t="s">
        <v>53</v>
      </c>
      <c r="G68" s="3" t="n">
        <v>2991.28140091852</v>
      </c>
      <c r="H68" s="2" t="s">
        <v>16</v>
      </c>
      <c r="I68" s="2" t="s">
        <v>272</v>
      </c>
      <c r="J68" s="2" t="s">
        <v>76</v>
      </c>
      <c r="K68" s="2" t="s">
        <v>35</v>
      </c>
    </row>
    <row r="69" customFormat="false" ht="15" hidden="false" customHeight="false" outlineLevel="0" collapsed="false">
      <c r="A69" s="2" t="n">
        <v>68</v>
      </c>
      <c r="B69" s="2" t="s">
        <v>273</v>
      </c>
      <c r="C69" s="2" t="s">
        <v>12</v>
      </c>
      <c r="D69" s="2" t="s">
        <v>69</v>
      </c>
      <c r="E69" s="2" t="s">
        <v>274</v>
      </c>
      <c r="F69" s="2" t="s">
        <v>15</v>
      </c>
      <c r="G69" s="3" t="n">
        <v>1816.04874140397</v>
      </c>
      <c r="H69" s="2" t="s">
        <v>12</v>
      </c>
      <c r="I69" s="2" t="s">
        <v>275</v>
      </c>
      <c r="J69" s="2" t="s">
        <v>26</v>
      </c>
      <c r="K69" s="2" t="s">
        <v>35</v>
      </c>
    </row>
    <row r="70" customFormat="false" ht="15" hidden="false" customHeight="false" outlineLevel="0" collapsed="false">
      <c r="A70" s="2" t="n">
        <v>69</v>
      </c>
      <c r="B70" s="2" t="s">
        <v>276</v>
      </c>
      <c r="C70" s="2" t="s">
        <v>66</v>
      </c>
      <c r="D70" s="2" t="s">
        <v>120</v>
      </c>
      <c r="E70" s="2" t="s">
        <v>277</v>
      </c>
      <c r="F70" s="2" t="s">
        <v>74</v>
      </c>
      <c r="G70" s="3" t="n">
        <v>3363.202720604</v>
      </c>
      <c r="H70" s="2" t="s">
        <v>47</v>
      </c>
      <c r="I70" s="2" t="s">
        <v>278</v>
      </c>
      <c r="J70" s="2" t="s">
        <v>18</v>
      </c>
      <c r="K70" s="2" t="s">
        <v>27</v>
      </c>
    </row>
    <row r="71" customFormat="false" ht="15" hidden="false" customHeight="false" outlineLevel="0" collapsed="false">
      <c r="A71" s="2" t="n">
        <v>70</v>
      </c>
      <c r="B71" s="2" t="s">
        <v>279</v>
      </c>
      <c r="C71" s="2" t="s">
        <v>50</v>
      </c>
      <c r="D71" s="2" t="s">
        <v>103</v>
      </c>
      <c r="E71" s="2" t="s">
        <v>280</v>
      </c>
      <c r="F71" s="2" t="s">
        <v>160</v>
      </c>
      <c r="G71" s="3" t="n">
        <v>4762.2634213504</v>
      </c>
      <c r="H71" s="2" t="s">
        <v>12</v>
      </c>
      <c r="I71" s="2" t="s">
        <v>281</v>
      </c>
      <c r="J71" s="2" t="s">
        <v>34</v>
      </c>
      <c r="K71" s="2" t="s">
        <v>27</v>
      </c>
    </row>
    <row r="72" customFormat="false" ht="15" hidden="false" customHeight="false" outlineLevel="0" collapsed="false">
      <c r="A72" s="2" t="n">
        <v>71</v>
      </c>
      <c r="B72" s="2" t="s">
        <v>282</v>
      </c>
      <c r="C72" s="2" t="s">
        <v>21</v>
      </c>
      <c r="D72" s="2" t="s">
        <v>155</v>
      </c>
      <c r="E72" s="2" t="s">
        <v>283</v>
      </c>
      <c r="F72" s="2" t="s">
        <v>53</v>
      </c>
      <c r="G72" s="3" t="n">
        <v>1184.90420198242</v>
      </c>
      <c r="H72" s="2" t="s">
        <v>32</v>
      </c>
      <c r="I72" s="2" t="s">
        <v>284</v>
      </c>
      <c r="J72" s="2" t="s">
        <v>34</v>
      </c>
      <c r="K72" s="2" t="s">
        <v>42</v>
      </c>
    </row>
    <row r="73" customFormat="false" ht="15" hidden="false" customHeight="false" outlineLevel="0" collapsed="false">
      <c r="A73" s="2" t="n">
        <v>72</v>
      </c>
      <c r="B73" s="2" t="s">
        <v>213</v>
      </c>
      <c r="C73" s="2" t="s">
        <v>50</v>
      </c>
      <c r="D73" s="2" t="s">
        <v>51</v>
      </c>
      <c r="E73" s="2" t="s">
        <v>285</v>
      </c>
      <c r="F73" s="2" t="s">
        <v>191</v>
      </c>
      <c r="G73" s="3" t="n">
        <v>2891.86986104211</v>
      </c>
      <c r="H73" s="2" t="s">
        <v>47</v>
      </c>
      <c r="I73" s="2" t="s">
        <v>286</v>
      </c>
      <c r="J73" s="2" t="s">
        <v>61</v>
      </c>
      <c r="K73" s="2" t="s">
        <v>35</v>
      </c>
    </row>
    <row r="74" customFormat="false" ht="15" hidden="false" customHeight="false" outlineLevel="0" collapsed="false">
      <c r="A74" s="2" t="n">
        <v>73</v>
      </c>
      <c r="B74" s="2" t="s">
        <v>287</v>
      </c>
      <c r="C74" s="2" t="s">
        <v>92</v>
      </c>
      <c r="D74" s="2" t="s">
        <v>151</v>
      </c>
      <c r="E74" s="2" t="s">
        <v>288</v>
      </c>
      <c r="F74" s="2" t="s">
        <v>74</v>
      </c>
      <c r="G74" s="3" t="n">
        <v>968.15432381894</v>
      </c>
      <c r="H74" s="2" t="s">
        <v>32</v>
      </c>
      <c r="I74" s="2" t="s">
        <v>289</v>
      </c>
      <c r="J74" s="2" t="s">
        <v>76</v>
      </c>
      <c r="K74" s="2" t="s">
        <v>35</v>
      </c>
    </row>
    <row r="75" customFormat="false" ht="15" hidden="false" customHeight="false" outlineLevel="0" collapsed="false">
      <c r="A75" s="2" t="n">
        <v>74</v>
      </c>
      <c r="B75" s="2" t="s">
        <v>290</v>
      </c>
      <c r="C75" s="2" t="s">
        <v>12</v>
      </c>
      <c r="D75" s="2" t="s">
        <v>69</v>
      </c>
      <c r="E75" s="2" t="s">
        <v>291</v>
      </c>
      <c r="F75" s="2" t="s">
        <v>15</v>
      </c>
      <c r="G75" s="3" t="n">
        <v>2851.60223925045</v>
      </c>
      <c r="H75" s="2" t="s">
        <v>123</v>
      </c>
      <c r="I75" s="2" t="s">
        <v>292</v>
      </c>
      <c r="J75" s="2" t="s">
        <v>34</v>
      </c>
      <c r="K75" s="2" t="s">
        <v>19</v>
      </c>
    </row>
    <row r="76" customFormat="false" ht="15" hidden="false" customHeight="false" outlineLevel="0" collapsed="false">
      <c r="A76" s="2" t="n">
        <v>75</v>
      </c>
      <c r="B76" s="2" t="s">
        <v>109</v>
      </c>
      <c r="C76" s="2" t="s">
        <v>37</v>
      </c>
      <c r="D76" s="2" t="s">
        <v>44</v>
      </c>
      <c r="E76" s="2" t="s">
        <v>293</v>
      </c>
      <c r="F76" s="2" t="s">
        <v>74</v>
      </c>
      <c r="G76" s="3" t="n">
        <v>4569.29920042679</v>
      </c>
      <c r="H76" s="2" t="s">
        <v>100</v>
      </c>
      <c r="I76" s="2" t="s">
        <v>294</v>
      </c>
      <c r="J76" s="2" t="s">
        <v>61</v>
      </c>
      <c r="K76" s="2" t="s">
        <v>35</v>
      </c>
    </row>
    <row r="77" customFormat="false" ht="15" hidden="false" customHeight="false" outlineLevel="0" collapsed="false">
      <c r="A77" s="2" t="n">
        <v>76</v>
      </c>
      <c r="B77" s="2" t="s">
        <v>295</v>
      </c>
      <c r="C77" s="2" t="s">
        <v>66</v>
      </c>
      <c r="D77" s="2" t="s">
        <v>120</v>
      </c>
      <c r="E77" s="2" t="s">
        <v>296</v>
      </c>
      <c r="F77" s="2" t="s">
        <v>59</v>
      </c>
      <c r="G77" s="3" t="n">
        <v>8795.65616534489</v>
      </c>
      <c r="H77" s="2" t="s">
        <v>12</v>
      </c>
      <c r="I77" s="2" t="s">
        <v>297</v>
      </c>
      <c r="J77" s="2" t="s">
        <v>76</v>
      </c>
      <c r="K77" s="2" t="s">
        <v>27</v>
      </c>
    </row>
    <row r="78" customFormat="false" ht="15" hidden="false" customHeight="false" outlineLevel="0" collapsed="false">
      <c r="A78" s="2" t="n">
        <v>77</v>
      </c>
      <c r="B78" s="2" t="s">
        <v>298</v>
      </c>
      <c r="C78" s="2" t="s">
        <v>66</v>
      </c>
      <c r="D78" s="2" t="s">
        <v>97</v>
      </c>
      <c r="E78" s="2" t="s">
        <v>299</v>
      </c>
      <c r="F78" s="2" t="s">
        <v>148</v>
      </c>
      <c r="G78" s="3" t="n">
        <v>514.96976163075</v>
      </c>
      <c r="H78" s="2" t="s">
        <v>123</v>
      </c>
      <c r="I78" s="2" t="s">
        <v>300</v>
      </c>
      <c r="J78" s="2" t="s">
        <v>76</v>
      </c>
      <c r="K78" s="2" t="s">
        <v>42</v>
      </c>
    </row>
    <row r="79" customFormat="false" ht="15" hidden="false" customHeight="false" outlineLevel="0" collapsed="false">
      <c r="A79" s="2" t="n">
        <v>78</v>
      </c>
      <c r="B79" s="2" t="s">
        <v>301</v>
      </c>
      <c r="C79" s="2" t="s">
        <v>56</v>
      </c>
      <c r="D79" s="2" t="s">
        <v>302</v>
      </c>
      <c r="E79" s="2" t="s">
        <v>303</v>
      </c>
      <c r="F79" s="2" t="s">
        <v>148</v>
      </c>
      <c r="G79" s="3" t="n">
        <v>-539.054850679975</v>
      </c>
      <c r="H79" s="2" t="s">
        <v>32</v>
      </c>
      <c r="I79" s="2" t="s">
        <v>304</v>
      </c>
      <c r="J79" s="2" t="s">
        <v>34</v>
      </c>
      <c r="K79" s="2" t="s">
        <v>19</v>
      </c>
    </row>
    <row r="80" customFormat="false" ht="15" hidden="false" customHeight="false" outlineLevel="0" collapsed="false">
      <c r="A80" s="2" t="n">
        <v>79</v>
      </c>
      <c r="B80" s="2" t="s">
        <v>305</v>
      </c>
      <c r="C80" s="2" t="s">
        <v>12</v>
      </c>
      <c r="D80" s="2" t="s">
        <v>13</v>
      </c>
      <c r="E80" s="2" t="s">
        <v>306</v>
      </c>
      <c r="F80" s="2" t="s">
        <v>31</v>
      </c>
      <c r="G80" s="3" t="n">
        <v>2114.09800603269</v>
      </c>
      <c r="H80" s="2" t="s">
        <v>12</v>
      </c>
      <c r="I80" s="2" t="s">
        <v>307</v>
      </c>
      <c r="J80" s="2" t="s">
        <v>34</v>
      </c>
      <c r="K80" s="2" t="s">
        <v>27</v>
      </c>
    </row>
    <row r="81" customFormat="false" ht="15" hidden="false" customHeight="false" outlineLevel="0" collapsed="false">
      <c r="A81" s="2" t="n">
        <v>80</v>
      </c>
      <c r="B81" s="2" t="s">
        <v>308</v>
      </c>
      <c r="C81" s="2" t="s">
        <v>21</v>
      </c>
      <c r="D81" s="2" t="s">
        <v>29</v>
      </c>
      <c r="E81" s="2" t="s">
        <v>309</v>
      </c>
      <c r="F81" s="2" t="s">
        <v>40</v>
      </c>
      <c r="G81" s="3" t="n">
        <v>2464.57942814803</v>
      </c>
      <c r="H81" s="2" t="s">
        <v>16</v>
      </c>
      <c r="I81" s="2" t="s">
        <v>310</v>
      </c>
      <c r="J81" s="2" t="s">
        <v>61</v>
      </c>
      <c r="K81" s="2" t="s">
        <v>19</v>
      </c>
    </row>
    <row r="82" customFormat="false" ht="15" hidden="false" customHeight="false" outlineLevel="0" collapsed="false">
      <c r="A82" s="2" t="n">
        <v>81</v>
      </c>
      <c r="B82" s="2" t="s">
        <v>311</v>
      </c>
      <c r="C82" s="2" t="s">
        <v>92</v>
      </c>
      <c r="D82" s="2" t="s">
        <v>258</v>
      </c>
      <c r="E82" s="2" t="s">
        <v>312</v>
      </c>
      <c r="F82" s="2" t="s">
        <v>99</v>
      </c>
      <c r="G82" s="3" t="n">
        <v>1028.85260362709</v>
      </c>
      <c r="H82" s="2" t="s">
        <v>16</v>
      </c>
      <c r="I82" s="2" t="s">
        <v>313</v>
      </c>
      <c r="J82" s="2" t="s">
        <v>26</v>
      </c>
      <c r="K82" s="2" t="s">
        <v>19</v>
      </c>
    </row>
    <row r="83" customFormat="false" ht="15" hidden="false" customHeight="false" outlineLevel="0" collapsed="false">
      <c r="A83" s="2" t="n">
        <v>82</v>
      </c>
      <c r="B83" s="2" t="s">
        <v>62</v>
      </c>
      <c r="C83" s="2" t="s">
        <v>56</v>
      </c>
      <c r="D83" s="2" t="s">
        <v>69</v>
      </c>
      <c r="E83" s="2" t="s">
        <v>314</v>
      </c>
      <c r="F83" s="2" t="s">
        <v>148</v>
      </c>
      <c r="G83" s="3" t="n">
        <v>1278.56782012169</v>
      </c>
      <c r="H83" s="2" t="s">
        <v>66</v>
      </c>
      <c r="I83" s="2" t="s">
        <v>315</v>
      </c>
      <c r="J83" s="2" t="s">
        <v>61</v>
      </c>
      <c r="K83" s="2" t="s">
        <v>42</v>
      </c>
    </row>
    <row r="84" customFormat="false" ht="15" hidden="false" customHeight="false" outlineLevel="0" collapsed="false">
      <c r="A84" s="2" t="n">
        <v>83</v>
      </c>
      <c r="B84" s="2" t="s">
        <v>316</v>
      </c>
      <c r="C84" s="2" t="s">
        <v>12</v>
      </c>
      <c r="D84" s="2" t="s">
        <v>13</v>
      </c>
      <c r="E84" s="2" t="s">
        <v>317</v>
      </c>
      <c r="F84" s="2" t="s">
        <v>89</v>
      </c>
      <c r="G84" s="3" t="n">
        <v>617.851827051696</v>
      </c>
      <c r="H84" s="2" t="s">
        <v>16</v>
      </c>
      <c r="I84" s="2" t="s">
        <v>318</v>
      </c>
      <c r="J84" s="2" t="s">
        <v>76</v>
      </c>
      <c r="K84" s="2" t="s">
        <v>42</v>
      </c>
    </row>
    <row r="85" customFormat="false" ht="15" hidden="false" customHeight="false" outlineLevel="0" collapsed="false">
      <c r="A85" s="2" t="n">
        <v>84</v>
      </c>
      <c r="B85" s="2" t="s">
        <v>319</v>
      </c>
      <c r="C85" s="2" t="s">
        <v>50</v>
      </c>
      <c r="D85" s="2" t="s">
        <v>51</v>
      </c>
      <c r="E85" s="2" t="s">
        <v>320</v>
      </c>
      <c r="F85" s="2" t="s">
        <v>53</v>
      </c>
      <c r="G85" s="3" t="n">
        <v>2641.46948803344</v>
      </c>
      <c r="H85" s="2" t="s">
        <v>123</v>
      </c>
      <c r="I85" s="2" t="s">
        <v>321</v>
      </c>
      <c r="J85" s="2" t="s">
        <v>26</v>
      </c>
      <c r="K85" s="2" t="s">
        <v>19</v>
      </c>
    </row>
    <row r="86" customFormat="false" ht="15" hidden="false" customHeight="false" outlineLevel="0" collapsed="false">
      <c r="A86" s="2" t="n">
        <v>85</v>
      </c>
      <c r="B86" s="2" t="s">
        <v>322</v>
      </c>
      <c r="C86" s="2" t="s">
        <v>92</v>
      </c>
      <c r="D86" s="2" t="s">
        <v>146</v>
      </c>
      <c r="E86" s="2" t="s">
        <v>323</v>
      </c>
      <c r="F86" s="2" t="s">
        <v>160</v>
      </c>
      <c r="G86" s="3" t="n">
        <v>1336.52413996709</v>
      </c>
      <c r="H86" s="2" t="s">
        <v>16</v>
      </c>
      <c r="I86" s="2" t="s">
        <v>324</v>
      </c>
      <c r="J86" s="2" t="s">
        <v>18</v>
      </c>
      <c r="K86" s="2" t="s">
        <v>19</v>
      </c>
    </row>
    <row r="87" customFormat="false" ht="15" hidden="false" customHeight="false" outlineLevel="0" collapsed="false">
      <c r="A87" s="2" t="n">
        <v>86</v>
      </c>
      <c r="B87" s="2" t="s">
        <v>325</v>
      </c>
      <c r="C87" s="2" t="s">
        <v>50</v>
      </c>
      <c r="D87" s="2" t="s">
        <v>217</v>
      </c>
      <c r="E87" s="2" t="s">
        <v>326</v>
      </c>
      <c r="F87" s="2" t="s">
        <v>59</v>
      </c>
      <c r="G87" s="3" t="n">
        <v>2857.21820147003</v>
      </c>
      <c r="H87" s="2" t="s">
        <v>100</v>
      </c>
      <c r="I87" s="2" t="s">
        <v>327</v>
      </c>
      <c r="J87" s="2" t="s">
        <v>26</v>
      </c>
      <c r="K87" s="2" t="s">
        <v>19</v>
      </c>
    </row>
    <row r="88" customFormat="false" ht="15" hidden="false" customHeight="false" outlineLevel="0" collapsed="false">
      <c r="A88" s="2" t="n">
        <v>86</v>
      </c>
      <c r="B88" s="2" t="s">
        <v>213</v>
      </c>
      <c r="C88" s="2" t="s">
        <v>21</v>
      </c>
      <c r="D88" s="2" t="s">
        <v>29</v>
      </c>
      <c r="E88" s="2" t="s">
        <v>328</v>
      </c>
      <c r="F88" s="2" t="s">
        <v>82</v>
      </c>
      <c r="G88" s="3" t="n">
        <v>2456.34426185317</v>
      </c>
      <c r="H88" s="2" t="s">
        <v>66</v>
      </c>
      <c r="I88" s="2" t="s">
        <v>329</v>
      </c>
      <c r="J88" s="2" t="s">
        <v>61</v>
      </c>
      <c r="K88" s="2" t="s">
        <v>35</v>
      </c>
    </row>
    <row r="89" customFormat="false" ht="15" hidden="false" customHeight="false" outlineLevel="0" collapsed="false">
      <c r="A89" s="2" t="n">
        <v>88</v>
      </c>
      <c r="B89" s="2" t="s">
        <v>330</v>
      </c>
      <c r="C89" s="2" t="s">
        <v>50</v>
      </c>
      <c r="D89" s="2" t="s">
        <v>331</v>
      </c>
      <c r="E89" s="2" t="s">
        <v>332</v>
      </c>
      <c r="F89" s="2" t="s">
        <v>46</v>
      </c>
      <c r="G89" s="3" t="n">
        <v>1918.79942821241</v>
      </c>
      <c r="H89" s="2" t="s">
        <v>47</v>
      </c>
      <c r="I89" s="2" t="s">
        <v>333</v>
      </c>
      <c r="J89" s="2" t="s">
        <v>18</v>
      </c>
      <c r="K89" s="2" t="s">
        <v>19</v>
      </c>
    </row>
    <row r="90" customFormat="false" ht="15" hidden="false" customHeight="false" outlineLevel="0" collapsed="false">
      <c r="A90" s="2" t="n">
        <v>89</v>
      </c>
      <c r="B90" s="2" t="s">
        <v>334</v>
      </c>
      <c r="C90" s="2" t="s">
        <v>335</v>
      </c>
      <c r="D90" s="2" t="s">
        <v>167</v>
      </c>
      <c r="E90" s="2" t="s">
        <v>336</v>
      </c>
      <c r="F90" s="2" t="s">
        <v>15</v>
      </c>
      <c r="G90" s="3" t="n">
        <v>230.689862340115</v>
      </c>
      <c r="H90" s="2" t="s">
        <v>12</v>
      </c>
      <c r="I90" s="2" t="s">
        <v>337</v>
      </c>
      <c r="J90" s="2" t="s">
        <v>26</v>
      </c>
      <c r="K90" s="2" t="s">
        <v>19</v>
      </c>
    </row>
    <row r="91" customFormat="false" ht="15" hidden="false" customHeight="false" outlineLevel="0" collapsed="false">
      <c r="A91" s="2" t="n">
        <v>90</v>
      </c>
      <c r="B91" s="2" t="s">
        <v>150</v>
      </c>
      <c r="C91" s="2" t="s">
        <v>21</v>
      </c>
      <c r="D91" s="2" t="s">
        <v>155</v>
      </c>
      <c r="E91" s="2" t="s">
        <v>338</v>
      </c>
      <c r="F91" s="2" t="s">
        <v>31</v>
      </c>
      <c r="G91" s="3" t="n">
        <v>1505.68807073833</v>
      </c>
      <c r="H91" s="2" t="s">
        <v>47</v>
      </c>
      <c r="I91" s="2" t="s">
        <v>339</v>
      </c>
      <c r="J91" s="2" t="s">
        <v>76</v>
      </c>
      <c r="K91" s="2" t="s">
        <v>27</v>
      </c>
    </row>
    <row r="92" customFormat="false" ht="15" hidden="false" customHeight="false" outlineLevel="0" collapsed="false">
      <c r="A92" s="2" t="n">
        <v>91</v>
      </c>
      <c r="B92" s="2" t="s">
        <v>340</v>
      </c>
      <c r="C92" s="2" t="s">
        <v>50</v>
      </c>
      <c r="D92" s="2" t="s">
        <v>331</v>
      </c>
      <c r="E92" s="2" t="s">
        <v>341</v>
      </c>
      <c r="F92" s="2" t="s">
        <v>82</v>
      </c>
      <c r="G92" s="3" t="n">
        <v>0</v>
      </c>
      <c r="H92" s="2" t="s">
        <v>32</v>
      </c>
      <c r="I92" s="2" t="s">
        <v>342</v>
      </c>
      <c r="J92" s="2" t="s">
        <v>18</v>
      </c>
      <c r="K92" s="2" t="s">
        <v>27</v>
      </c>
    </row>
    <row r="93" customFormat="false" ht="15" hidden="false" customHeight="false" outlineLevel="0" collapsed="false">
      <c r="A93" s="2" t="n">
        <v>92</v>
      </c>
      <c r="B93" s="2" t="s">
        <v>343</v>
      </c>
      <c r="C93" s="2" t="s">
        <v>12</v>
      </c>
      <c r="D93" s="2" t="s">
        <v>13</v>
      </c>
      <c r="E93" s="2" t="s">
        <v>344</v>
      </c>
      <c r="F93" s="2" t="s">
        <v>148</v>
      </c>
      <c r="G93" s="3" t="n">
        <v>3408.27241818927</v>
      </c>
      <c r="H93" s="2" t="s">
        <v>16</v>
      </c>
      <c r="I93" s="2" t="s">
        <v>345</v>
      </c>
      <c r="J93" s="2" t="s">
        <v>18</v>
      </c>
      <c r="K93" s="2" t="s">
        <v>27</v>
      </c>
    </row>
    <row r="94" customFormat="false" ht="15" hidden="false" customHeight="false" outlineLevel="0" collapsed="false">
      <c r="A94" s="2" t="n">
        <v>93</v>
      </c>
      <c r="B94" s="2" t="s">
        <v>346</v>
      </c>
      <c r="C94" s="2" t="s">
        <v>66</v>
      </c>
      <c r="D94" s="2" t="s">
        <v>186</v>
      </c>
      <c r="E94" s="2" t="s">
        <v>347</v>
      </c>
      <c r="F94" s="2" t="s">
        <v>65</v>
      </c>
      <c r="G94" s="3" t="n">
        <v>3636.14846358746</v>
      </c>
      <c r="H94" s="2" t="s">
        <v>47</v>
      </c>
      <c r="I94" s="2" t="s">
        <v>348</v>
      </c>
      <c r="J94" s="2" t="s">
        <v>26</v>
      </c>
      <c r="K94" s="2" t="s">
        <v>42</v>
      </c>
    </row>
    <row r="95" customFormat="false" ht="15" hidden="false" customHeight="false" outlineLevel="0" collapsed="false">
      <c r="A95" s="2" t="n">
        <v>94</v>
      </c>
      <c r="B95" s="2" t="s">
        <v>349</v>
      </c>
      <c r="C95" s="2" t="s">
        <v>92</v>
      </c>
      <c r="D95" s="2" t="s">
        <v>146</v>
      </c>
      <c r="E95" s="2" t="s">
        <v>350</v>
      </c>
      <c r="F95" s="2" t="s">
        <v>99</v>
      </c>
      <c r="G95" s="3" t="n">
        <v>4011.94931083884</v>
      </c>
      <c r="H95" s="2" t="s">
        <v>47</v>
      </c>
      <c r="I95" s="2" t="s">
        <v>351</v>
      </c>
      <c r="J95" s="2" t="s">
        <v>18</v>
      </c>
      <c r="K95" s="2" t="s">
        <v>27</v>
      </c>
    </row>
    <row r="96" customFormat="false" ht="15" hidden="false" customHeight="false" outlineLevel="0" collapsed="false">
      <c r="A96" s="2" t="n">
        <v>95</v>
      </c>
      <c r="B96" s="2" t="s">
        <v>172</v>
      </c>
      <c r="C96" s="2" t="s">
        <v>56</v>
      </c>
      <c r="D96" s="2" t="s">
        <v>302</v>
      </c>
      <c r="E96" s="2" t="s">
        <v>352</v>
      </c>
      <c r="F96" s="2" t="s">
        <v>40</v>
      </c>
      <c r="G96" s="3" t="n">
        <v>1561.70634515635</v>
      </c>
      <c r="H96" s="2" t="s">
        <v>16</v>
      </c>
      <c r="I96" s="2" t="s">
        <v>353</v>
      </c>
      <c r="J96" s="2" t="s">
        <v>34</v>
      </c>
      <c r="K96" s="2" t="s">
        <v>27</v>
      </c>
    </row>
    <row r="97" customFormat="false" ht="15" hidden="false" customHeight="false" outlineLevel="0" collapsed="false">
      <c r="A97" s="2" t="n">
        <v>96</v>
      </c>
      <c r="B97" s="2" t="s">
        <v>354</v>
      </c>
      <c r="C97" s="2" t="s">
        <v>37</v>
      </c>
      <c r="D97" s="2" t="s">
        <v>44</v>
      </c>
      <c r="E97" s="2" t="s">
        <v>355</v>
      </c>
      <c r="F97" s="2" t="s">
        <v>122</v>
      </c>
      <c r="G97" s="3" t="n">
        <v>4996.29116780396</v>
      </c>
      <c r="H97" s="2" t="s">
        <v>16</v>
      </c>
      <c r="I97" s="2" t="s">
        <v>356</v>
      </c>
      <c r="J97" s="2" t="s">
        <v>76</v>
      </c>
      <c r="K97" s="2" t="s">
        <v>35</v>
      </c>
    </row>
    <row r="98" customFormat="false" ht="15" hidden="false" customHeight="false" outlineLevel="0" collapsed="false">
      <c r="A98" s="2" t="n">
        <v>97</v>
      </c>
      <c r="B98" s="2" t="s">
        <v>357</v>
      </c>
      <c r="C98" s="2" t="s">
        <v>12</v>
      </c>
      <c r="D98" s="2" t="s">
        <v>129</v>
      </c>
      <c r="E98" s="2" t="s">
        <v>358</v>
      </c>
      <c r="F98" s="2" t="s">
        <v>24</v>
      </c>
      <c r="G98" s="3" t="n">
        <v>3673.48115151383</v>
      </c>
      <c r="H98" s="2" t="s">
        <v>100</v>
      </c>
      <c r="I98" s="2" t="s">
        <v>359</v>
      </c>
      <c r="J98" s="2" t="s">
        <v>61</v>
      </c>
      <c r="K98" s="2" t="s">
        <v>42</v>
      </c>
    </row>
    <row r="99" customFormat="false" ht="15" hidden="false" customHeight="false" outlineLevel="0" collapsed="false">
      <c r="A99" s="2" t="n">
        <v>98</v>
      </c>
      <c r="B99" s="2" t="s">
        <v>181</v>
      </c>
      <c r="C99" s="2" t="s">
        <v>37</v>
      </c>
      <c r="D99" s="2" t="s">
        <v>182</v>
      </c>
      <c r="E99" s="2" t="s">
        <v>360</v>
      </c>
      <c r="F99" s="2" t="s">
        <v>148</v>
      </c>
      <c r="G99" s="3" t="n">
        <v>67396.1143054561</v>
      </c>
      <c r="H99" s="2" t="s">
        <v>100</v>
      </c>
      <c r="I99" s="2" t="s">
        <v>361</v>
      </c>
      <c r="J99" s="2" t="s">
        <v>18</v>
      </c>
      <c r="K99" s="2" t="s">
        <v>27</v>
      </c>
    </row>
    <row r="100" customFormat="false" ht="15" hidden="false" customHeight="false" outlineLevel="0" collapsed="false">
      <c r="A100" s="2" t="n">
        <v>99</v>
      </c>
      <c r="B100" s="2" t="s">
        <v>362</v>
      </c>
      <c r="C100" s="2" t="s">
        <v>92</v>
      </c>
      <c r="D100" s="2" t="s">
        <v>146</v>
      </c>
      <c r="E100" s="2" t="s">
        <v>363</v>
      </c>
      <c r="F100" s="2" t="s">
        <v>122</v>
      </c>
      <c r="G100" s="3" t="n">
        <v>2208.78553126129</v>
      </c>
      <c r="H100" s="2" t="s">
        <v>123</v>
      </c>
      <c r="I100" s="2" t="s">
        <v>364</v>
      </c>
      <c r="J100" s="2" t="s">
        <v>18</v>
      </c>
      <c r="K100" s="2" t="s">
        <v>27</v>
      </c>
    </row>
    <row r="101" customFormat="false" ht="15" hidden="false" customHeight="false" outlineLevel="0" collapsed="false">
      <c r="A101" s="2" t="n">
        <v>100</v>
      </c>
      <c r="B101" s="2" t="s">
        <v>365</v>
      </c>
      <c r="C101" s="2" t="s">
        <v>50</v>
      </c>
      <c r="D101" s="2" t="s">
        <v>217</v>
      </c>
      <c r="E101" s="2" t="s">
        <v>366</v>
      </c>
      <c r="F101" s="2" t="s">
        <v>191</v>
      </c>
      <c r="G101" s="3" t="n">
        <v>2227.1839196883</v>
      </c>
      <c r="H101" s="2" t="s">
        <v>100</v>
      </c>
      <c r="I101" s="2" t="s">
        <v>367</v>
      </c>
      <c r="J101" s="2" t="s">
        <v>34</v>
      </c>
      <c r="K101" s="2" t="s">
        <v>19</v>
      </c>
    </row>
    <row r="102" customFormat="false" ht="15" hidden="false" customHeight="false" outlineLevel="0" collapsed="false">
      <c r="A102" s="2" t="n">
        <v>101</v>
      </c>
      <c r="B102" s="2" t="s">
        <v>368</v>
      </c>
      <c r="C102" s="2" t="s">
        <v>50</v>
      </c>
      <c r="D102" s="2" t="s">
        <v>331</v>
      </c>
      <c r="E102" s="2" t="s">
        <v>369</v>
      </c>
      <c r="F102" s="2" t="s">
        <v>148</v>
      </c>
      <c r="G102" s="3" t="n">
        <v>2610.42989356004</v>
      </c>
      <c r="H102" s="2" t="s">
        <v>12</v>
      </c>
      <c r="I102" s="2" t="s">
        <v>370</v>
      </c>
      <c r="J102" s="2" t="s">
        <v>34</v>
      </c>
      <c r="K102" s="2" t="s">
        <v>27</v>
      </c>
    </row>
    <row r="103" customFormat="false" ht="15" hidden="false" customHeight="false" outlineLevel="0" collapsed="false">
      <c r="A103" s="2" t="n">
        <v>102</v>
      </c>
      <c r="B103" s="2" t="s">
        <v>371</v>
      </c>
      <c r="C103" s="2" t="s">
        <v>37</v>
      </c>
      <c r="D103" s="2" t="s">
        <v>182</v>
      </c>
      <c r="E103" s="2" t="s">
        <v>372</v>
      </c>
      <c r="F103" s="2" t="s">
        <v>46</v>
      </c>
      <c r="G103" s="3" t="n">
        <v>1264.39938713356</v>
      </c>
      <c r="H103" s="2" t="s">
        <v>47</v>
      </c>
      <c r="I103" s="2" t="s">
        <v>373</v>
      </c>
      <c r="J103" s="2" t="s">
        <v>26</v>
      </c>
      <c r="K103" s="2" t="s">
        <v>42</v>
      </c>
    </row>
    <row r="104" customFormat="false" ht="15" hidden="false" customHeight="false" outlineLevel="0" collapsed="false">
      <c r="A104" s="2" t="n">
        <v>103</v>
      </c>
      <c r="B104" s="2" t="s">
        <v>374</v>
      </c>
      <c r="C104" s="2" t="s">
        <v>21</v>
      </c>
      <c r="D104" s="2" t="s">
        <v>29</v>
      </c>
      <c r="E104" s="2" t="s">
        <v>375</v>
      </c>
      <c r="F104" s="2" t="s">
        <v>59</v>
      </c>
      <c r="G104" s="3" t="n">
        <v>3495.62652632164</v>
      </c>
      <c r="H104" s="2" t="s">
        <v>100</v>
      </c>
      <c r="I104" s="2" t="s">
        <v>376</v>
      </c>
      <c r="J104" s="2" t="s">
        <v>34</v>
      </c>
      <c r="K104" s="2" t="s">
        <v>19</v>
      </c>
    </row>
    <row r="105" customFormat="false" ht="15" hidden="false" customHeight="false" outlineLevel="0" collapsed="false">
      <c r="A105" s="2" t="n">
        <v>104</v>
      </c>
      <c r="B105" s="2" t="s">
        <v>377</v>
      </c>
      <c r="C105" s="2" t="s">
        <v>50</v>
      </c>
      <c r="D105" s="2" t="s">
        <v>217</v>
      </c>
      <c r="E105" s="2" t="s">
        <v>378</v>
      </c>
      <c r="F105" s="2" t="s">
        <v>65</v>
      </c>
      <c r="G105" s="3" t="n">
        <v>2307.52270101522</v>
      </c>
      <c r="H105" s="2" t="s">
        <v>16</v>
      </c>
      <c r="I105" s="2" t="s">
        <v>379</v>
      </c>
      <c r="J105" s="2" t="s">
        <v>34</v>
      </c>
      <c r="K105" s="2" t="s">
        <v>35</v>
      </c>
    </row>
    <row r="106" customFormat="false" ht="15" hidden="false" customHeight="false" outlineLevel="0" collapsed="false">
      <c r="A106" s="2" t="n">
        <v>105</v>
      </c>
      <c r="B106" s="2" t="s">
        <v>380</v>
      </c>
      <c r="C106" s="2" t="s">
        <v>92</v>
      </c>
      <c r="D106" s="2" t="s">
        <v>146</v>
      </c>
      <c r="E106" s="2" t="s">
        <v>381</v>
      </c>
      <c r="F106" s="2" t="s">
        <v>53</v>
      </c>
      <c r="G106" s="3" t="n">
        <v>1858.13175575983</v>
      </c>
      <c r="H106" s="2" t="s">
        <v>16</v>
      </c>
      <c r="I106" s="2" t="s">
        <v>382</v>
      </c>
      <c r="J106" s="2" t="s">
        <v>26</v>
      </c>
      <c r="K106" s="2" t="s">
        <v>35</v>
      </c>
    </row>
    <row r="107" customFormat="false" ht="15" hidden="false" customHeight="false" outlineLevel="0" collapsed="false">
      <c r="A107" s="2" t="n">
        <v>106</v>
      </c>
      <c r="B107" s="2" t="s">
        <v>128</v>
      </c>
      <c r="C107" s="2" t="s">
        <v>56</v>
      </c>
      <c r="D107" s="2" t="s">
        <v>69</v>
      </c>
      <c r="E107" s="2" t="s">
        <v>383</v>
      </c>
      <c r="F107" s="2" t="s">
        <v>82</v>
      </c>
      <c r="G107" s="3" t="n">
        <v>2014.62005830319</v>
      </c>
      <c r="H107" s="2" t="s">
        <v>100</v>
      </c>
      <c r="I107" s="2" t="s">
        <v>384</v>
      </c>
      <c r="J107" s="2" t="s">
        <v>26</v>
      </c>
      <c r="K107" s="2" t="s">
        <v>19</v>
      </c>
    </row>
    <row r="108" customFormat="false" ht="15" hidden="false" customHeight="false" outlineLevel="0" collapsed="false">
      <c r="A108" s="2" t="n">
        <v>107</v>
      </c>
      <c r="B108" s="2" t="s">
        <v>385</v>
      </c>
      <c r="C108" s="2" t="s">
        <v>21</v>
      </c>
      <c r="D108" s="2" t="s">
        <v>29</v>
      </c>
      <c r="E108" s="2" t="s">
        <v>386</v>
      </c>
      <c r="F108" s="2" t="s">
        <v>191</v>
      </c>
      <c r="G108" s="3" t="n">
        <v>1470.31279246745</v>
      </c>
      <c r="H108" s="2" t="s">
        <v>66</v>
      </c>
      <c r="I108" s="2" t="s">
        <v>387</v>
      </c>
      <c r="J108" s="2" t="s">
        <v>61</v>
      </c>
      <c r="K108" s="2" t="s">
        <v>19</v>
      </c>
    </row>
    <row r="109" customFormat="false" ht="15" hidden="false" customHeight="false" outlineLevel="0" collapsed="false">
      <c r="A109" s="2" t="n">
        <v>108</v>
      </c>
      <c r="B109" s="2" t="s">
        <v>349</v>
      </c>
      <c r="C109" s="2" t="s">
        <v>12</v>
      </c>
      <c r="D109" s="2" t="s">
        <v>63</v>
      </c>
      <c r="E109" s="2" t="s">
        <v>388</v>
      </c>
      <c r="F109" s="2" t="s">
        <v>59</v>
      </c>
      <c r="G109" s="3" t="n">
        <v>1965.14254970578</v>
      </c>
      <c r="H109" s="2" t="s">
        <v>123</v>
      </c>
      <c r="I109" s="2" t="s">
        <v>389</v>
      </c>
      <c r="J109" s="2" t="s">
        <v>26</v>
      </c>
      <c r="K109" s="2" t="s">
        <v>19</v>
      </c>
    </row>
    <row r="110" customFormat="false" ht="15" hidden="false" customHeight="false" outlineLevel="0" collapsed="false">
      <c r="A110" s="2" t="n">
        <v>109</v>
      </c>
      <c r="B110" s="2" t="s">
        <v>390</v>
      </c>
      <c r="C110" s="2" t="s">
        <v>56</v>
      </c>
      <c r="D110" s="2" t="s">
        <v>113</v>
      </c>
      <c r="E110" s="2" t="s">
        <v>391</v>
      </c>
      <c r="F110" s="2" t="s">
        <v>46</v>
      </c>
      <c r="G110" s="3" t="n">
        <v>3571.34450105797</v>
      </c>
      <c r="H110" s="2" t="s">
        <v>32</v>
      </c>
      <c r="I110" s="2" t="s">
        <v>392</v>
      </c>
      <c r="J110" s="2" t="s">
        <v>76</v>
      </c>
      <c r="K110" s="2" t="s">
        <v>35</v>
      </c>
    </row>
    <row r="111" customFormat="false" ht="15" hidden="false" customHeight="false" outlineLevel="0" collapsed="false">
      <c r="A111" s="2" t="n">
        <v>110</v>
      </c>
      <c r="B111" s="2" t="s">
        <v>199</v>
      </c>
      <c r="C111" s="2" t="s">
        <v>12</v>
      </c>
      <c r="D111" s="2" t="s">
        <v>129</v>
      </c>
      <c r="E111" s="2" t="s">
        <v>393</v>
      </c>
      <c r="F111" s="2" t="s">
        <v>191</v>
      </c>
      <c r="G111" s="3" t="n">
        <v>3077.86244086042</v>
      </c>
      <c r="H111" s="2" t="s">
        <v>47</v>
      </c>
      <c r="I111" s="2" t="s">
        <v>394</v>
      </c>
      <c r="J111" s="2" t="s">
        <v>18</v>
      </c>
      <c r="K111" s="2" t="s">
        <v>35</v>
      </c>
    </row>
    <row r="112" customFormat="false" ht="15" hidden="false" customHeight="false" outlineLevel="0" collapsed="false">
      <c r="A112" s="2" t="n">
        <v>111</v>
      </c>
      <c r="B112" s="2" t="s">
        <v>395</v>
      </c>
      <c r="C112" s="2" t="s">
        <v>66</v>
      </c>
      <c r="D112" s="2" t="s">
        <v>97</v>
      </c>
      <c r="E112" s="2" t="s">
        <v>396</v>
      </c>
      <c r="F112" s="2" t="s">
        <v>65</v>
      </c>
      <c r="G112" s="3" t="n">
        <v>409.945971071254</v>
      </c>
      <c r="H112" s="2" t="s">
        <v>12</v>
      </c>
      <c r="I112" s="2" t="s">
        <v>397</v>
      </c>
      <c r="J112" s="2" t="s">
        <v>76</v>
      </c>
      <c r="K112" s="2" t="s">
        <v>35</v>
      </c>
    </row>
    <row r="113" customFormat="false" ht="15" hidden="false" customHeight="false" outlineLevel="0" collapsed="false">
      <c r="A113" s="2" t="n">
        <v>112</v>
      </c>
      <c r="B113" s="2" t="s">
        <v>398</v>
      </c>
      <c r="C113" s="2" t="s">
        <v>37</v>
      </c>
      <c r="D113" s="2" t="s">
        <v>38</v>
      </c>
      <c r="E113" s="2" t="s">
        <v>399</v>
      </c>
      <c r="F113" s="2"/>
      <c r="G113" s="3" t="n">
        <v>384.545674402272</v>
      </c>
      <c r="H113" s="2" t="s">
        <v>47</v>
      </c>
      <c r="I113" s="2" t="s">
        <v>400</v>
      </c>
      <c r="J113" s="2" t="s">
        <v>26</v>
      </c>
      <c r="K113" s="2" t="s">
        <v>35</v>
      </c>
    </row>
    <row r="114" customFormat="false" ht="15" hidden="false" customHeight="false" outlineLevel="0" collapsed="false">
      <c r="A114" s="2" t="n">
        <v>113</v>
      </c>
      <c r="B114" s="2" t="s">
        <v>401</v>
      </c>
      <c r="C114" s="2" t="s">
        <v>56</v>
      </c>
      <c r="D114" s="2" t="s">
        <v>57</v>
      </c>
      <c r="E114" s="2" t="s">
        <v>402</v>
      </c>
      <c r="F114" s="2" t="s">
        <v>40</v>
      </c>
      <c r="G114" s="3" t="n">
        <v>1836.80149012821</v>
      </c>
      <c r="H114" s="2" t="s">
        <v>16</v>
      </c>
      <c r="I114" s="2" t="s">
        <v>403</v>
      </c>
      <c r="J114" s="2" t="s">
        <v>34</v>
      </c>
      <c r="K114" s="2" t="s">
        <v>42</v>
      </c>
    </row>
    <row r="115" customFormat="false" ht="15" hidden="false" customHeight="false" outlineLevel="0" collapsed="false">
      <c r="A115" s="2" t="n">
        <v>114</v>
      </c>
      <c r="B115" s="2" t="s">
        <v>404</v>
      </c>
      <c r="C115" s="2" t="s">
        <v>56</v>
      </c>
      <c r="D115" s="2" t="s">
        <v>69</v>
      </c>
      <c r="E115" s="2" t="s">
        <v>405</v>
      </c>
      <c r="F115" s="2" t="s">
        <v>59</v>
      </c>
      <c r="G115" s="3" t="n">
        <v>3892.1882809981</v>
      </c>
      <c r="H115" s="2" t="s">
        <v>66</v>
      </c>
      <c r="I115" s="2" t="s">
        <v>406</v>
      </c>
      <c r="J115" s="2" t="s">
        <v>26</v>
      </c>
      <c r="K115" s="2" t="s">
        <v>35</v>
      </c>
    </row>
    <row r="116" customFormat="false" ht="15" hidden="false" customHeight="false" outlineLevel="0" collapsed="false">
      <c r="A116" s="2" t="n">
        <v>115</v>
      </c>
      <c r="B116" s="2" t="s">
        <v>279</v>
      </c>
      <c r="C116" s="2" t="s">
        <v>37</v>
      </c>
      <c r="D116" s="2" t="s">
        <v>38</v>
      </c>
      <c r="E116" s="2" t="s">
        <v>407</v>
      </c>
      <c r="F116" s="2" t="s">
        <v>122</v>
      </c>
      <c r="G116" s="3" t="n">
        <v>1539.27846115439</v>
      </c>
      <c r="H116" s="2" t="s">
        <v>32</v>
      </c>
      <c r="I116" s="2" t="s">
        <v>408</v>
      </c>
      <c r="J116" s="2" t="s">
        <v>61</v>
      </c>
      <c r="K116" s="2" t="s">
        <v>27</v>
      </c>
    </row>
    <row r="117" customFormat="false" ht="15" hidden="false" customHeight="false" outlineLevel="0" collapsed="false">
      <c r="A117" s="2" t="n">
        <v>116</v>
      </c>
      <c r="B117" s="2" t="s">
        <v>132</v>
      </c>
      <c r="C117" s="2" t="s">
        <v>56</v>
      </c>
      <c r="D117" s="2" t="s">
        <v>69</v>
      </c>
      <c r="E117" s="2" t="s">
        <v>409</v>
      </c>
      <c r="F117" s="2" t="s">
        <v>89</v>
      </c>
      <c r="G117" s="3" t="n">
        <v>4979.22598975586</v>
      </c>
      <c r="H117" s="2" t="s">
        <v>12</v>
      </c>
      <c r="I117" s="2" t="s">
        <v>410</v>
      </c>
      <c r="J117" s="2" t="s">
        <v>76</v>
      </c>
      <c r="K117" s="2" t="s">
        <v>27</v>
      </c>
    </row>
    <row r="118" customFormat="false" ht="15" hidden="false" customHeight="false" outlineLevel="0" collapsed="false">
      <c r="A118" s="2" t="n">
        <v>117</v>
      </c>
      <c r="B118" s="2" t="s">
        <v>411</v>
      </c>
      <c r="C118" s="2" t="s">
        <v>66</v>
      </c>
      <c r="D118" s="2" t="s">
        <v>186</v>
      </c>
      <c r="E118" s="2" t="s">
        <v>412</v>
      </c>
      <c r="F118" s="2" t="s">
        <v>40</v>
      </c>
      <c r="G118" s="3" t="n">
        <v>994.164828027707</v>
      </c>
      <c r="H118" s="2" t="s">
        <v>16</v>
      </c>
      <c r="I118" s="2" t="s">
        <v>413</v>
      </c>
      <c r="J118" s="2" t="s">
        <v>26</v>
      </c>
      <c r="K118" s="2" t="s">
        <v>35</v>
      </c>
    </row>
    <row r="119" customFormat="false" ht="15" hidden="false" customHeight="false" outlineLevel="0" collapsed="false">
      <c r="A119" s="2" t="n">
        <v>118</v>
      </c>
      <c r="B119" s="2" t="s">
        <v>414</v>
      </c>
      <c r="C119" s="2" t="s">
        <v>66</v>
      </c>
      <c r="D119" s="2" t="s">
        <v>120</v>
      </c>
      <c r="E119" s="2" t="s">
        <v>415</v>
      </c>
      <c r="F119" s="2" t="s">
        <v>148</v>
      </c>
      <c r="G119" s="3" t="n">
        <v>6265.42134211222</v>
      </c>
      <c r="H119" s="2" t="s">
        <v>47</v>
      </c>
      <c r="I119" s="2"/>
      <c r="J119" s="2" t="s">
        <v>61</v>
      </c>
      <c r="K119" s="2" t="s">
        <v>35</v>
      </c>
    </row>
    <row r="120" customFormat="false" ht="15" hidden="false" customHeight="false" outlineLevel="0" collapsed="false">
      <c r="A120" s="2" t="n">
        <v>119</v>
      </c>
      <c r="B120" s="2" t="s">
        <v>416</v>
      </c>
      <c r="C120" s="2" t="s">
        <v>50</v>
      </c>
      <c r="D120" s="2" t="s">
        <v>51</v>
      </c>
      <c r="E120" s="2" t="s">
        <v>417</v>
      </c>
      <c r="F120" s="2" t="s">
        <v>46</v>
      </c>
      <c r="G120" s="3" t="n">
        <v>3393.28093457824</v>
      </c>
      <c r="H120" s="2" t="s">
        <v>32</v>
      </c>
      <c r="I120" s="2" t="s">
        <v>418</v>
      </c>
      <c r="J120" s="2" t="s">
        <v>61</v>
      </c>
      <c r="K120" s="2" t="s">
        <v>42</v>
      </c>
    </row>
    <row r="121" customFormat="false" ht="15" hidden="false" customHeight="false" outlineLevel="0" collapsed="false">
      <c r="A121" s="2" t="n">
        <v>120</v>
      </c>
      <c r="B121" s="2" t="s">
        <v>419</v>
      </c>
      <c r="C121" s="2" t="s">
        <v>92</v>
      </c>
      <c r="D121" s="2" t="s">
        <v>146</v>
      </c>
      <c r="E121" s="2" t="s">
        <v>420</v>
      </c>
      <c r="F121" s="2" t="s">
        <v>74</v>
      </c>
      <c r="G121" s="3" t="n">
        <v>2610.70412177599</v>
      </c>
      <c r="H121" s="2" t="s">
        <v>32</v>
      </c>
      <c r="I121" s="2" t="s">
        <v>421</v>
      </c>
      <c r="J121" s="2" t="s">
        <v>18</v>
      </c>
      <c r="K121" s="2" t="s">
        <v>42</v>
      </c>
    </row>
    <row r="122" customFormat="false" ht="15" hidden="false" customHeight="false" outlineLevel="0" collapsed="false">
      <c r="A122" s="2" t="n">
        <v>121</v>
      </c>
      <c r="B122" s="2" t="s">
        <v>185</v>
      </c>
      <c r="C122" s="2" t="s">
        <v>92</v>
      </c>
      <c r="D122" s="2" t="s">
        <v>200</v>
      </c>
      <c r="E122" s="2" t="s">
        <v>422</v>
      </c>
      <c r="F122" s="2" t="s">
        <v>59</v>
      </c>
      <c r="G122" s="3" t="n">
        <v>115.234259830254</v>
      </c>
      <c r="H122" s="2" t="s">
        <v>123</v>
      </c>
      <c r="I122" s="2" t="s">
        <v>423</v>
      </c>
      <c r="J122" s="2" t="s">
        <v>76</v>
      </c>
      <c r="K122" s="2" t="s">
        <v>27</v>
      </c>
    </row>
    <row r="123" customFormat="false" ht="15" hidden="false" customHeight="false" outlineLevel="0" collapsed="false">
      <c r="A123" s="2" t="n">
        <v>122</v>
      </c>
      <c r="B123" s="2" t="s">
        <v>424</v>
      </c>
      <c r="C123" s="2" t="s">
        <v>56</v>
      </c>
      <c r="D123" s="2" t="s">
        <v>113</v>
      </c>
      <c r="E123" s="2" t="s">
        <v>425</v>
      </c>
      <c r="F123" s="2" t="s">
        <v>24</v>
      </c>
      <c r="G123" s="3" t="n">
        <v>1357.00027222015</v>
      </c>
      <c r="H123" s="2" t="s">
        <v>100</v>
      </c>
      <c r="I123" s="2" t="s">
        <v>426</v>
      </c>
      <c r="J123" s="2" t="s">
        <v>18</v>
      </c>
      <c r="K123" s="2" t="s">
        <v>19</v>
      </c>
    </row>
    <row r="124" customFormat="false" ht="15" hidden="false" customHeight="false" outlineLevel="0" collapsed="false">
      <c r="A124" s="2" t="n">
        <v>123</v>
      </c>
      <c r="B124" s="2"/>
      <c r="C124" s="2" t="s">
        <v>56</v>
      </c>
      <c r="D124" s="2" t="s">
        <v>69</v>
      </c>
      <c r="E124" s="2" t="s">
        <v>427</v>
      </c>
      <c r="F124" s="2" t="s">
        <v>191</v>
      </c>
      <c r="G124" s="3" t="n">
        <v>731.168565146438</v>
      </c>
      <c r="H124" s="2" t="s">
        <v>16</v>
      </c>
      <c r="I124" s="2" t="s">
        <v>428</v>
      </c>
      <c r="J124" s="2" t="s">
        <v>34</v>
      </c>
      <c r="K124" s="2" t="s">
        <v>19</v>
      </c>
    </row>
    <row r="125" customFormat="false" ht="15" hidden="false" customHeight="false" outlineLevel="0" collapsed="false">
      <c r="A125" s="2" t="n">
        <v>124</v>
      </c>
      <c r="B125" s="2" t="s">
        <v>429</v>
      </c>
      <c r="C125" s="2" t="s">
        <v>12</v>
      </c>
      <c r="D125" s="2" t="s">
        <v>63</v>
      </c>
      <c r="E125" s="2" t="s">
        <v>430</v>
      </c>
      <c r="F125" s="2" t="s">
        <v>24</v>
      </c>
      <c r="G125" s="3" t="n">
        <v>1894.77384523667</v>
      </c>
      <c r="H125" s="2" t="s">
        <v>32</v>
      </c>
      <c r="I125" s="2" t="s">
        <v>431</v>
      </c>
      <c r="J125" s="2" t="s">
        <v>18</v>
      </c>
      <c r="K125" s="2" t="s">
        <v>42</v>
      </c>
    </row>
    <row r="126" customFormat="false" ht="15" hidden="false" customHeight="false" outlineLevel="0" collapsed="false">
      <c r="A126" s="2" t="n">
        <v>125</v>
      </c>
      <c r="B126" s="2" t="s">
        <v>432</v>
      </c>
      <c r="C126" s="2" t="s">
        <v>92</v>
      </c>
      <c r="D126" s="2" t="s">
        <v>200</v>
      </c>
      <c r="E126" s="2" t="s">
        <v>433</v>
      </c>
      <c r="F126" s="2" t="s">
        <v>31</v>
      </c>
      <c r="G126" s="3" t="n">
        <v>4297.53681168717</v>
      </c>
      <c r="H126" s="2" t="s">
        <v>32</v>
      </c>
      <c r="I126" s="2" t="s">
        <v>434</v>
      </c>
      <c r="J126" s="2" t="s">
        <v>18</v>
      </c>
      <c r="K126" s="2" t="s">
        <v>42</v>
      </c>
    </row>
    <row r="127" customFormat="false" ht="15" hidden="false" customHeight="false" outlineLevel="0" collapsed="false">
      <c r="A127" s="2" t="n">
        <v>126</v>
      </c>
      <c r="B127" s="2" t="s">
        <v>435</v>
      </c>
      <c r="C127" s="2" t="s">
        <v>56</v>
      </c>
      <c r="D127" s="2" t="s">
        <v>57</v>
      </c>
      <c r="E127" s="2" t="s">
        <v>436</v>
      </c>
      <c r="F127" s="2" t="s">
        <v>31</v>
      </c>
      <c r="G127" s="3" t="n">
        <v>846.567472787327</v>
      </c>
      <c r="H127" s="2" t="s">
        <v>16</v>
      </c>
      <c r="I127" s="2" t="s">
        <v>437</v>
      </c>
      <c r="J127" s="2" t="s">
        <v>76</v>
      </c>
      <c r="K127" s="2" t="s">
        <v>35</v>
      </c>
    </row>
    <row r="128" customFormat="false" ht="15" hidden="false" customHeight="false" outlineLevel="0" collapsed="false">
      <c r="A128" s="2" t="n">
        <v>127</v>
      </c>
      <c r="B128" s="2" t="s">
        <v>261</v>
      </c>
      <c r="C128" s="2" t="s">
        <v>37</v>
      </c>
      <c r="D128" s="2" t="s">
        <v>44</v>
      </c>
      <c r="E128" s="2" t="s">
        <v>438</v>
      </c>
      <c r="F128" s="2" t="s">
        <v>191</v>
      </c>
      <c r="G128" s="3" t="n">
        <v>266.300859752884</v>
      </c>
      <c r="H128" s="2" t="s">
        <v>47</v>
      </c>
      <c r="I128" s="2" t="s">
        <v>439</v>
      </c>
      <c r="J128" s="2" t="s">
        <v>34</v>
      </c>
      <c r="K128" s="2" t="s">
        <v>42</v>
      </c>
    </row>
    <row r="129" customFormat="false" ht="15" hidden="false" customHeight="false" outlineLevel="0" collapsed="false">
      <c r="A129" s="2" t="n">
        <v>128</v>
      </c>
      <c r="B129" s="2" t="s">
        <v>36</v>
      </c>
      <c r="C129" s="2" t="s">
        <v>66</v>
      </c>
      <c r="D129" s="2" t="s">
        <v>207</v>
      </c>
      <c r="E129" s="2" t="s">
        <v>440</v>
      </c>
      <c r="F129" s="2" t="s">
        <v>160</v>
      </c>
      <c r="G129" s="3" t="n">
        <v>2879.92012428601</v>
      </c>
      <c r="H129" s="2" t="s">
        <v>47</v>
      </c>
      <c r="I129" s="2" t="s">
        <v>441</v>
      </c>
      <c r="J129" s="2" t="s">
        <v>18</v>
      </c>
      <c r="K129" s="2" t="s">
        <v>27</v>
      </c>
    </row>
    <row r="130" customFormat="false" ht="15" hidden="false" customHeight="false" outlineLevel="0" collapsed="false">
      <c r="A130" s="2" t="n">
        <v>129</v>
      </c>
      <c r="B130" s="2" t="s">
        <v>442</v>
      </c>
      <c r="C130" s="2" t="s">
        <v>92</v>
      </c>
      <c r="D130" s="2" t="s">
        <v>258</v>
      </c>
      <c r="E130" s="2" t="s">
        <v>443</v>
      </c>
      <c r="F130" s="2" t="s">
        <v>122</v>
      </c>
      <c r="G130" s="3" t="n">
        <v>501.354751518213</v>
      </c>
      <c r="H130" s="2" t="s">
        <v>12</v>
      </c>
      <c r="I130" s="2" t="s">
        <v>444</v>
      </c>
      <c r="J130" s="2" t="s">
        <v>34</v>
      </c>
      <c r="K130" s="2" t="s">
        <v>35</v>
      </c>
    </row>
    <row r="131" customFormat="false" ht="15" hidden="false" customHeight="false" outlineLevel="0" collapsed="false">
      <c r="A131" s="2" t="n">
        <v>130</v>
      </c>
      <c r="B131" s="2" t="s">
        <v>445</v>
      </c>
      <c r="C131" s="2" t="s">
        <v>21</v>
      </c>
      <c r="D131" s="2" t="s">
        <v>155</v>
      </c>
      <c r="E131" s="2" t="s">
        <v>446</v>
      </c>
      <c r="F131" s="2" t="s">
        <v>82</v>
      </c>
      <c r="G131" s="3" t="n">
        <v>3053.06044952496</v>
      </c>
      <c r="H131" s="2" t="s">
        <v>16</v>
      </c>
      <c r="I131" s="2" t="s">
        <v>447</v>
      </c>
      <c r="J131" s="2" t="s">
        <v>76</v>
      </c>
      <c r="K131" s="2" t="s">
        <v>42</v>
      </c>
    </row>
    <row r="132" customFormat="false" ht="15" hidden="false" customHeight="false" outlineLevel="0" collapsed="false">
      <c r="A132" s="2" t="n">
        <v>131</v>
      </c>
      <c r="B132" s="2" t="s">
        <v>448</v>
      </c>
      <c r="C132" s="2" t="s">
        <v>92</v>
      </c>
      <c r="D132" s="2" t="s">
        <v>258</v>
      </c>
      <c r="E132" s="2" t="s">
        <v>449</v>
      </c>
      <c r="F132" s="2" t="s">
        <v>74</v>
      </c>
      <c r="G132" s="3" t="n">
        <v>2659.21966892393</v>
      </c>
      <c r="H132" s="2" t="s">
        <v>16</v>
      </c>
      <c r="I132" s="2" t="s">
        <v>450</v>
      </c>
      <c r="J132" s="2" t="s">
        <v>76</v>
      </c>
      <c r="K132" s="2" t="s">
        <v>35</v>
      </c>
    </row>
    <row r="133" customFormat="false" ht="15" hidden="false" customHeight="false" outlineLevel="0" collapsed="false">
      <c r="A133" s="2" t="n">
        <v>132</v>
      </c>
      <c r="B133" s="2" t="s">
        <v>451</v>
      </c>
      <c r="C133" s="2" t="s">
        <v>66</v>
      </c>
      <c r="D133" s="2" t="s">
        <v>186</v>
      </c>
      <c r="E133" s="2" t="s">
        <v>452</v>
      </c>
      <c r="F133" s="2" t="s">
        <v>15</v>
      </c>
      <c r="G133" s="3" t="n">
        <v>760.875180569534</v>
      </c>
      <c r="H133" s="2" t="s">
        <v>66</v>
      </c>
      <c r="I133" s="2" t="s">
        <v>453</v>
      </c>
      <c r="J133" s="2" t="s">
        <v>76</v>
      </c>
      <c r="K133" s="2" t="s">
        <v>35</v>
      </c>
    </row>
    <row r="134" customFormat="false" ht="15" hidden="false" customHeight="false" outlineLevel="0" collapsed="false">
      <c r="A134" s="2" t="n">
        <v>133</v>
      </c>
      <c r="B134" s="2" t="s">
        <v>454</v>
      </c>
      <c r="C134" s="2" t="s">
        <v>66</v>
      </c>
      <c r="D134" s="2" t="s">
        <v>97</v>
      </c>
      <c r="E134" s="2" t="s">
        <v>455</v>
      </c>
      <c r="F134" s="2" t="s">
        <v>15</v>
      </c>
      <c r="G134" s="3" t="n">
        <v>1971.60433070538</v>
      </c>
      <c r="H134" s="2" t="s">
        <v>32</v>
      </c>
      <c r="I134" s="2" t="s">
        <v>456</v>
      </c>
      <c r="J134" s="2" t="s">
        <v>34</v>
      </c>
      <c r="K134" s="2" t="s">
        <v>19</v>
      </c>
    </row>
    <row r="135" customFormat="false" ht="15" hidden="false" customHeight="false" outlineLevel="0" collapsed="false">
      <c r="A135" s="2" t="n">
        <v>134</v>
      </c>
      <c r="B135" s="2" t="s">
        <v>457</v>
      </c>
      <c r="C135" s="2" t="s">
        <v>21</v>
      </c>
      <c r="D135" s="2" t="s">
        <v>29</v>
      </c>
      <c r="E135" s="2" t="s">
        <v>458</v>
      </c>
      <c r="F135" s="2" t="s">
        <v>65</v>
      </c>
      <c r="G135" s="3" t="n">
        <v>-1204.17204484159</v>
      </c>
      <c r="H135" s="2" t="s">
        <v>123</v>
      </c>
      <c r="I135" s="2" t="s">
        <v>459</v>
      </c>
      <c r="J135" s="2" t="s">
        <v>34</v>
      </c>
      <c r="K135" s="2" t="s">
        <v>35</v>
      </c>
    </row>
    <row r="136" customFormat="false" ht="15" hidden="false" customHeight="false" outlineLevel="0" collapsed="false">
      <c r="A136" s="2" t="n">
        <v>135</v>
      </c>
      <c r="B136" s="2" t="s">
        <v>460</v>
      </c>
      <c r="C136" s="2" t="s">
        <v>50</v>
      </c>
      <c r="D136" s="2" t="s">
        <v>51</v>
      </c>
      <c r="E136" s="2" t="s">
        <v>461</v>
      </c>
      <c r="F136" s="2" t="s">
        <v>99</v>
      </c>
      <c r="G136" s="3" t="n">
        <v>884.150099743872</v>
      </c>
      <c r="H136" s="2" t="s">
        <v>12</v>
      </c>
      <c r="I136" s="2" t="s">
        <v>462</v>
      </c>
      <c r="J136" s="2" t="s">
        <v>61</v>
      </c>
      <c r="K136" s="2" t="s">
        <v>27</v>
      </c>
    </row>
    <row r="137" customFormat="false" ht="15" hidden="false" customHeight="false" outlineLevel="0" collapsed="false">
      <c r="A137" s="2" t="n">
        <v>136</v>
      </c>
      <c r="B137" s="2" t="s">
        <v>55</v>
      </c>
      <c r="C137" s="2" t="s">
        <v>12</v>
      </c>
      <c r="D137" s="2" t="s">
        <v>63</v>
      </c>
      <c r="E137" s="2" t="s">
        <v>463</v>
      </c>
      <c r="F137" s="2" t="s">
        <v>24</v>
      </c>
      <c r="G137" s="3" t="n">
        <v>4190.16685473215</v>
      </c>
      <c r="H137" s="2" t="s">
        <v>100</v>
      </c>
      <c r="I137" s="2" t="s">
        <v>464</v>
      </c>
      <c r="J137" s="2" t="s">
        <v>26</v>
      </c>
      <c r="K137" s="2" t="s">
        <v>35</v>
      </c>
    </row>
    <row r="138" customFormat="false" ht="15" hidden="false" customHeight="false" outlineLevel="0" collapsed="false">
      <c r="A138" s="2" t="n">
        <v>137</v>
      </c>
      <c r="B138" s="2" t="s">
        <v>465</v>
      </c>
      <c r="C138" s="2" t="s">
        <v>50</v>
      </c>
      <c r="D138" s="2" t="s">
        <v>51</v>
      </c>
      <c r="E138" s="2" t="s">
        <v>466</v>
      </c>
      <c r="F138" s="2" t="s">
        <v>82</v>
      </c>
      <c r="G138" s="3" t="n">
        <v>2937.36589185513</v>
      </c>
      <c r="H138" s="2" t="s">
        <v>12</v>
      </c>
      <c r="I138" s="2" t="s">
        <v>467</v>
      </c>
      <c r="J138" s="2" t="s">
        <v>18</v>
      </c>
      <c r="K138" s="2" t="s">
        <v>19</v>
      </c>
    </row>
    <row r="139" customFormat="false" ht="15" hidden="false" customHeight="false" outlineLevel="0" collapsed="false">
      <c r="A139" s="2" t="n">
        <v>138</v>
      </c>
      <c r="B139" s="2" t="s">
        <v>468</v>
      </c>
      <c r="C139" s="2" t="s">
        <v>37</v>
      </c>
      <c r="D139" s="2" t="s">
        <v>38</v>
      </c>
      <c r="E139" s="2" t="s">
        <v>469</v>
      </c>
      <c r="F139" s="2" t="s">
        <v>74</v>
      </c>
      <c r="G139" s="3" t="n">
        <v>3887.85135025525</v>
      </c>
      <c r="H139" s="2" t="s">
        <v>66</v>
      </c>
      <c r="I139" s="2" t="s">
        <v>470</v>
      </c>
      <c r="J139" s="2" t="s">
        <v>26</v>
      </c>
      <c r="K139" s="2" t="s">
        <v>19</v>
      </c>
    </row>
    <row r="140" customFormat="false" ht="15" hidden="false" customHeight="false" outlineLevel="0" collapsed="false">
      <c r="A140" s="2" t="n">
        <v>139</v>
      </c>
      <c r="B140" s="2" t="s">
        <v>451</v>
      </c>
      <c r="C140" s="2" t="s">
        <v>56</v>
      </c>
      <c r="D140" s="2" t="s">
        <v>113</v>
      </c>
      <c r="E140" s="2" t="s">
        <v>471</v>
      </c>
      <c r="F140" s="2" t="s">
        <v>74</v>
      </c>
      <c r="G140" s="3" t="n">
        <v>2946.01367684758</v>
      </c>
      <c r="H140" s="2" t="s">
        <v>66</v>
      </c>
      <c r="I140" s="2" t="s">
        <v>472</v>
      </c>
      <c r="J140" s="2" t="s">
        <v>26</v>
      </c>
      <c r="K140" s="2" t="s">
        <v>42</v>
      </c>
    </row>
    <row r="141" customFormat="false" ht="15" hidden="false" customHeight="false" outlineLevel="0" collapsed="false">
      <c r="A141" s="2" t="n">
        <v>140</v>
      </c>
      <c r="B141" s="2" t="s">
        <v>473</v>
      </c>
      <c r="C141" s="2" t="s">
        <v>21</v>
      </c>
      <c r="D141" s="2" t="s">
        <v>155</v>
      </c>
      <c r="E141" s="2" t="s">
        <v>474</v>
      </c>
      <c r="F141" s="2" t="s">
        <v>148</v>
      </c>
      <c r="G141" s="3" t="n">
        <v>2761.30416853403</v>
      </c>
      <c r="H141" s="2" t="s">
        <v>12</v>
      </c>
      <c r="I141" s="2" t="s">
        <v>475</v>
      </c>
      <c r="J141" s="2" t="s">
        <v>76</v>
      </c>
      <c r="K141" s="2" t="s">
        <v>19</v>
      </c>
    </row>
    <row r="142" customFormat="false" ht="15" hidden="false" customHeight="false" outlineLevel="0" collapsed="false">
      <c r="A142" s="2" t="n">
        <v>141</v>
      </c>
      <c r="B142" s="2" t="s">
        <v>87</v>
      </c>
      <c r="C142" s="2" t="s">
        <v>21</v>
      </c>
      <c r="D142" s="2" t="s">
        <v>22</v>
      </c>
      <c r="E142" s="2" t="s">
        <v>476</v>
      </c>
      <c r="F142" s="2" t="s">
        <v>74</v>
      </c>
      <c r="G142" s="3" t="n">
        <v>5178.26892795555</v>
      </c>
      <c r="H142" s="2" t="s">
        <v>47</v>
      </c>
      <c r="I142" s="2" t="s">
        <v>477</v>
      </c>
      <c r="J142" s="2" t="s">
        <v>61</v>
      </c>
      <c r="K142" s="2" t="s">
        <v>35</v>
      </c>
    </row>
    <row r="143" customFormat="false" ht="15" hidden="false" customHeight="false" outlineLevel="0" collapsed="false">
      <c r="A143" s="2" t="n">
        <v>142</v>
      </c>
      <c r="B143" s="2" t="s">
        <v>478</v>
      </c>
      <c r="C143" s="2" t="s">
        <v>50</v>
      </c>
      <c r="D143" s="2" t="s">
        <v>217</v>
      </c>
      <c r="E143" s="2" t="s">
        <v>479</v>
      </c>
      <c r="F143" s="2" t="s">
        <v>31</v>
      </c>
      <c r="G143" s="3" t="n">
        <v>2418.14394367837</v>
      </c>
      <c r="H143" s="2" t="s">
        <v>32</v>
      </c>
      <c r="I143" s="2" t="s">
        <v>480</v>
      </c>
      <c r="J143" s="2" t="s">
        <v>26</v>
      </c>
      <c r="K143" s="2" t="s">
        <v>35</v>
      </c>
    </row>
    <row r="144" customFormat="false" ht="15" hidden="false" customHeight="false" outlineLevel="0" collapsed="false">
      <c r="A144" s="2" t="n">
        <v>143</v>
      </c>
      <c r="B144" s="2" t="s">
        <v>481</v>
      </c>
      <c r="C144" s="2" t="s">
        <v>12</v>
      </c>
      <c r="D144" s="2" t="s">
        <v>63</v>
      </c>
      <c r="E144" s="2" t="s">
        <v>482</v>
      </c>
      <c r="F144" s="2" t="s">
        <v>99</v>
      </c>
      <c r="G144" s="3" t="n">
        <v>4423.07169182557</v>
      </c>
      <c r="H144" s="2" t="s">
        <v>47</v>
      </c>
      <c r="I144" s="2" t="s">
        <v>483</v>
      </c>
      <c r="J144" s="2" t="s">
        <v>61</v>
      </c>
      <c r="K144" s="2" t="s">
        <v>27</v>
      </c>
    </row>
    <row r="145" customFormat="false" ht="15" hidden="false" customHeight="false" outlineLevel="0" collapsed="false">
      <c r="A145" s="2" t="n">
        <v>144</v>
      </c>
      <c r="B145" s="2" t="s">
        <v>484</v>
      </c>
      <c r="C145" s="2" t="s">
        <v>66</v>
      </c>
      <c r="D145" s="2" t="s">
        <v>186</v>
      </c>
      <c r="E145" s="2" t="s">
        <v>485</v>
      </c>
      <c r="F145" s="2" t="s">
        <v>46</v>
      </c>
      <c r="G145" s="3" t="n">
        <v>2561.02772150722</v>
      </c>
      <c r="H145" s="2" t="s">
        <v>66</v>
      </c>
      <c r="I145" s="2" t="s">
        <v>486</v>
      </c>
      <c r="J145" s="2" t="s">
        <v>76</v>
      </c>
      <c r="K145" s="2" t="s">
        <v>35</v>
      </c>
    </row>
    <row r="146" customFormat="false" ht="15" hidden="false" customHeight="false" outlineLevel="0" collapsed="false">
      <c r="A146" s="2" t="n">
        <v>145</v>
      </c>
      <c r="B146" s="2" t="s">
        <v>487</v>
      </c>
      <c r="C146" s="2"/>
      <c r="D146" s="2" t="s">
        <v>167</v>
      </c>
      <c r="E146" s="2" t="s">
        <v>488</v>
      </c>
      <c r="F146" s="2" t="s">
        <v>31</v>
      </c>
      <c r="G146" s="3" t="n">
        <v>1460.94270259507</v>
      </c>
      <c r="H146" s="2" t="s">
        <v>12</v>
      </c>
      <c r="I146" s="2" t="s">
        <v>489</v>
      </c>
      <c r="J146" s="2" t="s">
        <v>26</v>
      </c>
      <c r="K146" s="2" t="s">
        <v>35</v>
      </c>
    </row>
    <row r="147" customFormat="false" ht="15" hidden="false" customHeight="false" outlineLevel="0" collapsed="false">
      <c r="A147" s="2" t="n">
        <v>146</v>
      </c>
      <c r="B147" s="2" t="s">
        <v>390</v>
      </c>
      <c r="C147" s="2" t="s">
        <v>50</v>
      </c>
      <c r="D147" s="2" t="s">
        <v>51</v>
      </c>
      <c r="E147" s="2" t="s">
        <v>490</v>
      </c>
      <c r="F147" s="2" t="s">
        <v>191</v>
      </c>
      <c r="G147" s="3" t="n">
        <v>2431.84154854226</v>
      </c>
      <c r="H147" s="2" t="s">
        <v>32</v>
      </c>
      <c r="I147" s="2" t="s">
        <v>491</v>
      </c>
      <c r="J147" s="2" t="s">
        <v>26</v>
      </c>
      <c r="K147" s="2" t="s">
        <v>42</v>
      </c>
    </row>
    <row r="148" customFormat="false" ht="15" hidden="false" customHeight="false" outlineLevel="0" collapsed="false">
      <c r="A148" s="2" t="n">
        <v>147</v>
      </c>
      <c r="B148" s="2" t="s">
        <v>287</v>
      </c>
      <c r="C148" s="2" t="s">
        <v>21</v>
      </c>
      <c r="D148" s="2" t="s">
        <v>22</v>
      </c>
      <c r="E148" s="2" t="s">
        <v>492</v>
      </c>
      <c r="F148" s="2" t="s">
        <v>122</v>
      </c>
      <c r="G148" s="3" t="n">
        <v>3426.43014094497</v>
      </c>
      <c r="H148" s="2" t="s">
        <v>47</v>
      </c>
      <c r="I148" s="2" t="s">
        <v>493</v>
      </c>
      <c r="J148" s="2" t="s">
        <v>61</v>
      </c>
      <c r="K148" s="2" t="s">
        <v>42</v>
      </c>
    </row>
    <row r="149" customFormat="false" ht="15" hidden="false" customHeight="false" outlineLevel="0" collapsed="false">
      <c r="A149" s="2" t="n">
        <v>148</v>
      </c>
      <c r="B149" s="2" t="s">
        <v>494</v>
      </c>
      <c r="C149" s="2" t="s">
        <v>37</v>
      </c>
      <c r="D149" s="2" t="s">
        <v>139</v>
      </c>
      <c r="E149" s="2" t="s">
        <v>495</v>
      </c>
      <c r="F149" s="2" t="s">
        <v>99</v>
      </c>
      <c r="G149" s="3" t="n">
        <v>4529.82778625538</v>
      </c>
      <c r="H149" s="2" t="s">
        <v>32</v>
      </c>
      <c r="I149" s="2" t="s">
        <v>496</v>
      </c>
      <c r="J149" s="2" t="s">
        <v>76</v>
      </c>
      <c r="K149" s="2" t="s">
        <v>19</v>
      </c>
    </row>
    <row r="150" customFormat="false" ht="15" hidden="false" customHeight="false" outlineLevel="0" collapsed="false">
      <c r="A150" s="2" t="n">
        <v>149</v>
      </c>
      <c r="B150" s="2" t="s">
        <v>497</v>
      </c>
      <c r="C150" s="2" t="s">
        <v>21</v>
      </c>
      <c r="D150" s="2" t="s">
        <v>22</v>
      </c>
      <c r="E150" s="2" t="s">
        <v>498</v>
      </c>
      <c r="F150" s="2" t="s">
        <v>15</v>
      </c>
      <c r="G150" s="3" t="n">
        <v>5652.53695018541</v>
      </c>
      <c r="H150" s="2" t="s">
        <v>66</v>
      </c>
      <c r="I150" s="2" t="s">
        <v>499</v>
      </c>
      <c r="J150" s="2" t="s">
        <v>61</v>
      </c>
      <c r="K150" s="2" t="s">
        <v>27</v>
      </c>
    </row>
    <row r="151" customFormat="false" ht="15" hidden="false" customHeight="false" outlineLevel="0" collapsed="false">
      <c r="A151" s="2" t="n">
        <v>150</v>
      </c>
      <c r="B151" s="2" t="s">
        <v>432</v>
      </c>
      <c r="C151" s="2" t="s">
        <v>56</v>
      </c>
      <c r="D151" s="2" t="s">
        <v>69</v>
      </c>
      <c r="E151" s="2" t="s">
        <v>500</v>
      </c>
      <c r="F151" s="2" t="s">
        <v>53</v>
      </c>
      <c r="G151" s="3" t="n">
        <v>2134.25846294973</v>
      </c>
      <c r="H151" s="2" t="s">
        <v>100</v>
      </c>
      <c r="I151" s="2" t="s">
        <v>501</v>
      </c>
      <c r="J151" s="2" t="s">
        <v>61</v>
      </c>
      <c r="K151" s="2" t="s">
        <v>19</v>
      </c>
    </row>
    <row r="152" customFormat="false" ht="15" hidden="false" customHeight="false" outlineLevel="0" collapsed="false">
      <c r="A152" s="2" t="n">
        <v>151</v>
      </c>
      <c r="B152" s="2" t="s">
        <v>502</v>
      </c>
      <c r="C152" s="2" t="s">
        <v>37</v>
      </c>
      <c r="D152" s="2" t="s">
        <v>139</v>
      </c>
      <c r="E152" s="2" t="s">
        <v>503</v>
      </c>
      <c r="F152" s="2" t="s">
        <v>122</v>
      </c>
      <c r="G152" s="3" t="n">
        <v>1433.57531206292</v>
      </c>
      <c r="H152" s="2" t="s">
        <v>47</v>
      </c>
      <c r="I152" s="2" t="s">
        <v>504</v>
      </c>
      <c r="J152" s="2" t="s">
        <v>76</v>
      </c>
      <c r="K152" s="2" t="s">
        <v>35</v>
      </c>
    </row>
    <row r="153" customFormat="false" ht="15" hidden="false" customHeight="false" outlineLevel="0" collapsed="false">
      <c r="A153" s="2" t="n">
        <v>152</v>
      </c>
      <c r="B153" s="2" t="s">
        <v>282</v>
      </c>
      <c r="C153" s="2" t="s">
        <v>12</v>
      </c>
      <c r="D153" s="2" t="s">
        <v>63</v>
      </c>
      <c r="E153" s="2" t="s">
        <v>505</v>
      </c>
      <c r="F153" s="2" t="s">
        <v>99</v>
      </c>
      <c r="G153" s="3" t="n">
        <v>4112.22174097467</v>
      </c>
      <c r="H153" s="2" t="s">
        <v>123</v>
      </c>
      <c r="I153" s="2" t="s">
        <v>506</v>
      </c>
      <c r="J153" s="2" t="s">
        <v>76</v>
      </c>
      <c r="K153" s="2" t="s">
        <v>27</v>
      </c>
    </row>
    <row r="154" customFormat="false" ht="15" hidden="false" customHeight="false" outlineLevel="0" collapsed="false">
      <c r="A154" s="2" t="n">
        <v>153</v>
      </c>
      <c r="B154" s="2" t="s">
        <v>487</v>
      </c>
      <c r="C154" s="2" t="s">
        <v>37</v>
      </c>
      <c r="D154" s="2" t="s">
        <v>44</v>
      </c>
      <c r="E154" s="2" t="s">
        <v>507</v>
      </c>
      <c r="F154" s="2" t="s">
        <v>53</v>
      </c>
      <c r="G154" s="3" t="n">
        <v>0</v>
      </c>
      <c r="H154" s="2" t="s">
        <v>12</v>
      </c>
      <c r="I154" s="2" t="s">
        <v>508</v>
      </c>
      <c r="J154" s="2" t="s">
        <v>26</v>
      </c>
      <c r="K154" s="2" t="s">
        <v>42</v>
      </c>
    </row>
    <row r="155" customFormat="false" ht="15" hidden="false" customHeight="false" outlineLevel="0" collapsed="false">
      <c r="A155" s="2" t="n">
        <v>154</v>
      </c>
      <c r="B155" s="2" t="s">
        <v>362</v>
      </c>
      <c r="C155" s="2" t="s">
        <v>50</v>
      </c>
      <c r="D155" s="2" t="s">
        <v>217</v>
      </c>
      <c r="E155" s="2" t="s">
        <v>509</v>
      </c>
      <c r="F155" s="2" t="s">
        <v>82</v>
      </c>
      <c r="G155" s="3" t="n">
        <v>3569.98329846978</v>
      </c>
      <c r="H155" s="2" t="s">
        <v>32</v>
      </c>
      <c r="I155" s="2" t="s">
        <v>510</v>
      </c>
      <c r="J155" s="2" t="s">
        <v>76</v>
      </c>
      <c r="K155" s="2" t="s">
        <v>35</v>
      </c>
    </row>
    <row r="156" customFormat="false" ht="15" hidden="false" customHeight="false" outlineLevel="0" collapsed="false">
      <c r="A156" s="2" t="n">
        <v>155</v>
      </c>
      <c r="B156" s="2" t="s">
        <v>390</v>
      </c>
      <c r="C156" s="2" t="s">
        <v>50</v>
      </c>
      <c r="D156" s="2" t="s">
        <v>217</v>
      </c>
      <c r="E156" s="2" t="s">
        <v>511</v>
      </c>
      <c r="F156" s="2" t="s">
        <v>40</v>
      </c>
      <c r="G156" s="3" t="n">
        <v>3856.82627813239</v>
      </c>
      <c r="H156" s="2" t="s">
        <v>100</v>
      </c>
      <c r="I156" s="2" t="s">
        <v>512</v>
      </c>
      <c r="J156" s="2" t="s">
        <v>26</v>
      </c>
      <c r="K156" s="2" t="s">
        <v>27</v>
      </c>
    </row>
    <row r="157" customFormat="false" ht="15" hidden="false" customHeight="false" outlineLevel="0" collapsed="false">
      <c r="A157" s="2" t="n">
        <v>155</v>
      </c>
      <c r="B157" s="2" t="s">
        <v>513</v>
      </c>
      <c r="C157" s="2" t="s">
        <v>66</v>
      </c>
      <c r="D157" s="2" t="s">
        <v>97</v>
      </c>
      <c r="E157" s="2" t="s">
        <v>514</v>
      </c>
      <c r="F157" s="2" t="s">
        <v>82</v>
      </c>
      <c r="G157" s="3" t="n">
        <v>2510.73781809762</v>
      </c>
      <c r="H157" s="2" t="s">
        <v>32</v>
      </c>
      <c r="I157" s="2" t="s">
        <v>515</v>
      </c>
      <c r="J157" s="2" t="s">
        <v>61</v>
      </c>
      <c r="K157" s="2" t="s">
        <v>19</v>
      </c>
    </row>
    <row r="158" customFormat="false" ht="15" hidden="false" customHeight="false" outlineLevel="0" collapsed="false">
      <c r="A158" s="2" t="n">
        <v>157</v>
      </c>
      <c r="B158" s="2" t="s">
        <v>516</v>
      </c>
      <c r="C158" s="2" t="s">
        <v>37</v>
      </c>
      <c r="D158" s="2" t="s">
        <v>38</v>
      </c>
      <c r="E158" s="2" t="s">
        <v>517</v>
      </c>
      <c r="F158" s="2" t="s">
        <v>40</v>
      </c>
      <c r="G158" s="3" t="n">
        <v>1190.7998894212</v>
      </c>
      <c r="H158" s="2" t="s">
        <v>123</v>
      </c>
      <c r="I158" s="2" t="s">
        <v>518</v>
      </c>
      <c r="J158" s="2" t="s">
        <v>18</v>
      </c>
      <c r="K158" s="2" t="s">
        <v>42</v>
      </c>
    </row>
    <row r="159" customFormat="false" ht="15" hidden="false" customHeight="false" outlineLevel="0" collapsed="false">
      <c r="A159" s="2" t="n">
        <v>158</v>
      </c>
      <c r="B159" s="2" t="s">
        <v>138</v>
      </c>
      <c r="C159" s="2" t="s">
        <v>56</v>
      </c>
      <c r="D159" s="2" t="s">
        <v>57</v>
      </c>
      <c r="E159" s="2" t="s">
        <v>519</v>
      </c>
      <c r="F159" s="2" t="s">
        <v>65</v>
      </c>
      <c r="G159" s="3" t="n">
        <v>1877.90857101786</v>
      </c>
      <c r="H159" s="2" t="s">
        <v>32</v>
      </c>
      <c r="I159" s="2" t="s">
        <v>520</v>
      </c>
      <c r="J159" s="2" t="s">
        <v>18</v>
      </c>
      <c r="K159" s="2" t="s">
        <v>19</v>
      </c>
    </row>
    <row r="160" customFormat="false" ht="15" hidden="false" customHeight="false" outlineLevel="0" collapsed="false">
      <c r="A160" s="2" t="n">
        <v>159</v>
      </c>
      <c r="B160" s="2" t="s">
        <v>521</v>
      </c>
      <c r="C160" s="2" t="s">
        <v>92</v>
      </c>
      <c r="D160" s="2" t="s">
        <v>151</v>
      </c>
      <c r="E160" s="2" t="s">
        <v>522</v>
      </c>
      <c r="F160" s="2" t="s">
        <v>65</v>
      </c>
      <c r="G160" s="3" t="n">
        <v>2076.1996416337</v>
      </c>
      <c r="H160" s="2" t="s">
        <v>66</v>
      </c>
      <c r="I160" s="2" t="s">
        <v>523</v>
      </c>
      <c r="J160" s="2" t="s">
        <v>34</v>
      </c>
      <c r="K160" s="2" t="s">
        <v>19</v>
      </c>
    </row>
    <row r="161" customFormat="false" ht="15" hidden="false" customHeight="false" outlineLevel="0" collapsed="false">
      <c r="A161" s="2" t="n">
        <v>160</v>
      </c>
      <c r="B161" s="2" t="s">
        <v>524</v>
      </c>
      <c r="C161" s="2" t="s">
        <v>37</v>
      </c>
      <c r="D161" s="2" t="s">
        <v>44</v>
      </c>
      <c r="E161" s="2" t="s">
        <v>525</v>
      </c>
      <c r="F161" s="2" t="s">
        <v>99</v>
      </c>
      <c r="G161" s="3" t="n">
        <v>2566.49697286639</v>
      </c>
      <c r="H161" s="2" t="s">
        <v>16</v>
      </c>
      <c r="I161" s="2" t="s">
        <v>526</v>
      </c>
      <c r="J161" s="2" t="s">
        <v>34</v>
      </c>
      <c r="K161" s="2" t="s">
        <v>27</v>
      </c>
    </row>
    <row r="162" customFormat="false" ht="15" hidden="false" customHeight="false" outlineLevel="0" collapsed="false">
      <c r="A162" s="2" t="n">
        <v>161</v>
      </c>
      <c r="B162" s="2" t="s">
        <v>527</v>
      </c>
      <c r="C162" s="2" t="s">
        <v>21</v>
      </c>
      <c r="D162" s="2" t="s">
        <v>155</v>
      </c>
      <c r="E162" s="2" t="s">
        <v>528</v>
      </c>
      <c r="F162" s="2" t="s">
        <v>74</v>
      </c>
      <c r="G162" s="3" t="n">
        <v>2761.08670574526</v>
      </c>
      <c r="H162" s="2" t="s">
        <v>66</v>
      </c>
      <c r="I162" s="2" t="s">
        <v>529</v>
      </c>
      <c r="J162" s="2" t="s">
        <v>61</v>
      </c>
      <c r="K162" s="2" t="s">
        <v>27</v>
      </c>
    </row>
    <row r="163" customFormat="false" ht="15" hidden="false" customHeight="false" outlineLevel="0" collapsed="false">
      <c r="A163" s="2" t="n">
        <v>162</v>
      </c>
      <c r="B163" s="2" t="s">
        <v>530</v>
      </c>
      <c r="C163" s="2" t="s">
        <v>21</v>
      </c>
      <c r="D163" s="2" t="s">
        <v>22</v>
      </c>
      <c r="E163" s="2" t="s">
        <v>531</v>
      </c>
      <c r="F163" s="2" t="s">
        <v>122</v>
      </c>
      <c r="G163" s="3" t="n">
        <v>12914.3503646289</v>
      </c>
      <c r="H163" s="2" t="s">
        <v>123</v>
      </c>
      <c r="I163" s="2" t="s">
        <v>532</v>
      </c>
      <c r="J163" s="2" t="s">
        <v>34</v>
      </c>
      <c r="K163" s="2" t="s">
        <v>27</v>
      </c>
    </row>
    <row r="164" customFormat="false" ht="15" hidden="false" customHeight="false" outlineLevel="0" collapsed="false">
      <c r="A164" s="2" t="n">
        <v>163</v>
      </c>
      <c r="B164" s="2" t="s">
        <v>533</v>
      </c>
      <c r="C164" s="2" t="s">
        <v>21</v>
      </c>
      <c r="D164" s="2" t="s">
        <v>155</v>
      </c>
      <c r="E164" s="2" t="s">
        <v>534</v>
      </c>
      <c r="F164" s="2" t="s">
        <v>31</v>
      </c>
      <c r="G164" s="3" t="n">
        <v>2024.49983698028</v>
      </c>
      <c r="H164" s="2" t="s">
        <v>123</v>
      </c>
      <c r="I164" s="2" t="s">
        <v>535</v>
      </c>
      <c r="J164" s="2" t="s">
        <v>61</v>
      </c>
      <c r="K164" s="2" t="s">
        <v>19</v>
      </c>
    </row>
    <row r="165" customFormat="false" ht="15" hidden="false" customHeight="false" outlineLevel="0" collapsed="false">
      <c r="A165" s="2" t="n">
        <v>164</v>
      </c>
      <c r="B165" s="2" t="s">
        <v>536</v>
      </c>
      <c r="C165" s="2" t="s">
        <v>92</v>
      </c>
      <c r="D165" s="2" t="s">
        <v>146</v>
      </c>
      <c r="E165" s="2" t="s">
        <v>537</v>
      </c>
      <c r="F165" s="2" t="s">
        <v>65</v>
      </c>
      <c r="G165" s="3" t="n">
        <v>3363.52453424288</v>
      </c>
      <c r="H165" s="2" t="s">
        <v>12</v>
      </c>
      <c r="I165" s="2" t="s">
        <v>538</v>
      </c>
      <c r="J165" s="2" t="s">
        <v>34</v>
      </c>
      <c r="K165" s="2" t="s">
        <v>35</v>
      </c>
    </row>
    <row r="166" customFormat="false" ht="15" hidden="false" customHeight="false" outlineLevel="0" collapsed="false">
      <c r="A166" s="2" t="n">
        <v>165</v>
      </c>
      <c r="B166" s="2" t="s">
        <v>91</v>
      </c>
      <c r="C166" s="2" t="s">
        <v>92</v>
      </c>
      <c r="D166" s="2" t="s">
        <v>146</v>
      </c>
      <c r="E166" s="2" t="s">
        <v>539</v>
      </c>
      <c r="F166" s="2" t="s">
        <v>122</v>
      </c>
      <c r="G166" s="3" t="n">
        <v>1570.76352247408</v>
      </c>
      <c r="H166" s="2" t="s">
        <v>123</v>
      </c>
      <c r="I166" s="2" t="s">
        <v>540</v>
      </c>
      <c r="J166" s="2" t="s">
        <v>26</v>
      </c>
      <c r="K166" s="2" t="s">
        <v>27</v>
      </c>
    </row>
    <row r="167" customFormat="false" ht="15" hidden="false" customHeight="false" outlineLevel="0" collapsed="false">
      <c r="A167" s="2" t="n">
        <v>166</v>
      </c>
      <c r="B167" s="2" t="s">
        <v>541</v>
      </c>
      <c r="C167" s="2" t="s">
        <v>66</v>
      </c>
      <c r="D167" s="2" t="s">
        <v>207</v>
      </c>
      <c r="E167" s="2" t="s">
        <v>542</v>
      </c>
      <c r="F167" s="2" t="s">
        <v>24</v>
      </c>
      <c r="G167" s="3" t="n">
        <v>4422.00619932616</v>
      </c>
      <c r="H167" s="2" t="s">
        <v>47</v>
      </c>
      <c r="I167" s="2" t="s">
        <v>543</v>
      </c>
      <c r="J167" s="2" t="s">
        <v>76</v>
      </c>
      <c r="K167" s="2" t="s">
        <v>27</v>
      </c>
    </row>
    <row r="168" customFormat="false" ht="15" hidden="false" customHeight="false" outlineLevel="0" collapsed="false">
      <c r="A168" s="2" t="n">
        <v>167</v>
      </c>
      <c r="B168" s="2" t="s">
        <v>544</v>
      </c>
      <c r="C168" s="2" t="s">
        <v>50</v>
      </c>
      <c r="D168" s="2" t="s">
        <v>217</v>
      </c>
      <c r="E168" s="2" t="s">
        <v>545</v>
      </c>
      <c r="F168" s="2" t="s">
        <v>191</v>
      </c>
      <c r="G168" s="3" t="n">
        <v>86617.2494367464</v>
      </c>
      <c r="H168" s="2" t="s">
        <v>66</v>
      </c>
      <c r="I168" s="2" t="s">
        <v>546</v>
      </c>
      <c r="J168" s="2" t="s">
        <v>26</v>
      </c>
      <c r="K168" s="2" t="s">
        <v>19</v>
      </c>
    </row>
    <row r="169" customFormat="false" ht="15" hidden="false" customHeight="false" outlineLevel="0" collapsed="false">
      <c r="A169" s="2" t="n">
        <v>168</v>
      </c>
      <c r="B169" s="2" t="s">
        <v>547</v>
      </c>
      <c r="C169" s="2" t="s">
        <v>21</v>
      </c>
      <c r="D169" s="2" t="s">
        <v>155</v>
      </c>
      <c r="E169" s="2" t="s">
        <v>548</v>
      </c>
      <c r="F169" s="2" t="s">
        <v>24</v>
      </c>
      <c r="G169" s="3" t="n">
        <v>3134.11715040022</v>
      </c>
      <c r="H169" s="2" t="s">
        <v>123</v>
      </c>
      <c r="I169" s="2" t="s">
        <v>549</v>
      </c>
      <c r="J169" s="2" t="s">
        <v>26</v>
      </c>
      <c r="K169" s="2" t="s">
        <v>42</v>
      </c>
    </row>
    <row r="170" customFormat="false" ht="15" hidden="false" customHeight="false" outlineLevel="0" collapsed="false">
      <c r="A170" s="2" t="n">
        <v>169</v>
      </c>
      <c r="B170" s="2" t="s">
        <v>334</v>
      </c>
      <c r="C170" s="2" t="s">
        <v>50</v>
      </c>
      <c r="D170" s="2" t="s">
        <v>331</v>
      </c>
      <c r="E170" s="2" t="s">
        <v>550</v>
      </c>
      <c r="F170" s="2" t="s">
        <v>65</v>
      </c>
      <c r="G170" s="3" t="n">
        <v>3592.51263128943</v>
      </c>
      <c r="H170" s="2" t="s">
        <v>100</v>
      </c>
      <c r="I170" s="2" t="s">
        <v>551</v>
      </c>
      <c r="J170" s="2" t="s">
        <v>18</v>
      </c>
      <c r="K170" s="2" t="s">
        <v>42</v>
      </c>
    </row>
    <row r="171" customFormat="false" ht="15" hidden="false" customHeight="false" outlineLevel="0" collapsed="false">
      <c r="A171" s="2" t="n">
        <v>170</v>
      </c>
      <c r="B171" s="2" t="s">
        <v>552</v>
      </c>
      <c r="C171" s="2" t="s">
        <v>37</v>
      </c>
      <c r="D171" s="2" t="s">
        <v>44</v>
      </c>
      <c r="E171" s="2" t="s">
        <v>553</v>
      </c>
      <c r="F171" s="2" t="s">
        <v>15</v>
      </c>
      <c r="G171" s="3" t="n">
        <v>2311.7281420357</v>
      </c>
      <c r="H171" s="2" t="s">
        <v>47</v>
      </c>
      <c r="I171" s="2" t="s">
        <v>554</v>
      </c>
      <c r="J171" s="2" t="s">
        <v>76</v>
      </c>
      <c r="K171" s="2" t="s">
        <v>19</v>
      </c>
    </row>
    <row r="172" customFormat="false" ht="15" hidden="false" customHeight="false" outlineLevel="0" collapsed="false">
      <c r="A172" s="2" t="n">
        <v>171</v>
      </c>
      <c r="B172" s="2" t="s">
        <v>112</v>
      </c>
      <c r="C172" s="2" t="s">
        <v>21</v>
      </c>
      <c r="D172" s="2" t="s">
        <v>22</v>
      </c>
      <c r="E172" s="2" t="s">
        <v>555</v>
      </c>
      <c r="F172" s="2" t="s">
        <v>160</v>
      </c>
      <c r="G172" s="3" t="n">
        <v>4889.86765996765</v>
      </c>
      <c r="H172" s="2" t="s">
        <v>47</v>
      </c>
      <c r="I172" s="2" t="s">
        <v>556</v>
      </c>
      <c r="J172" s="2" t="s">
        <v>26</v>
      </c>
      <c r="K172" s="2" t="s">
        <v>35</v>
      </c>
    </row>
    <row r="173" customFormat="false" ht="15" hidden="false" customHeight="false" outlineLevel="0" collapsed="false">
      <c r="A173" s="2" t="n">
        <v>172</v>
      </c>
      <c r="B173" s="2" t="s">
        <v>557</v>
      </c>
      <c r="C173" s="2" t="s">
        <v>37</v>
      </c>
      <c r="D173" s="2" t="s">
        <v>182</v>
      </c>
      <c r="E173" s="2" t="s">
        <v>558</v>
      </c>
      <c r="F173" s="2" t="s">
        <v>82</v>
      </c>
      <c r="G173" s="3" t="n">
        <v>3026.66173526364</v>
      </c>
      <c r="H173" s="2" t="s">
        <v>32</v>
      </c>
      <c r="I173" s="2"/>
      <c r="J173" s="2" t="s">
        <v>61</v>
      </c>
      <c r="K173" s="2" t="s">
        <v>19</v>
      </c>
    </row>
    <row r="174" customFormat="false" ht="15" hidden="false" customHeight="false" outlineLevel="0" collapsed="false">
      <c r="A174" s="2" t="n">
        <v>173</v>
      </c>
      <c r="B174" s="2" t="s">
        <v>527</v>
      </c>
      <c r="C174" s="2" t="s">
        <v>92</v>
      </c>
      <c r="D174" s="2" t="s">
        <v>200</v>
      </c>
      <c r="E174" s="2" t="s">
        <v>559</v>
      </c>
      <c r="F174" s="2" t="s">
        <v>59</v>
      </c>
      <c r="G174" s="3" t="n">
        <v>3043.72057966393</v>
      </c>
      <c r="H174" s="2" t="s">
        <v>100</v>
      </c>
      <c r="I174" s="2" t="s">
        <v>560</v>
      </c>
      <c r="J174" s="2" t="s">
        <v>26</v>
      </c>
      <c r="K174" s="2" t="s">
        <v>35</v>
      </c>
    </row>
    <row r="175" customFormat="false" ht="15" hidden="false" customHeight="false" outlineLevel="0" collapsed="false">
      <c r="A175" s="2" t="n">
        <v>174</v>
      </c>
      <c r="B175" s="2" t="s">
        <v>561</v>
      </c>
      <c r="C175" s="2" t="s">
        <v>50</v>
      </c>
      <c r="D175" s="2" t="s">
        <v>103</v>
      </c>
      <c r="E175" s="2" t="s">
        <v>562</v>
      </c>
      <c r="F175" s="2" t="s">
        <v>191</v>
      </c>
      <c r="G175" s="3" t="n">
        <v>1438.20194284478</v>
      </c>
      <c r="H175" s="2" t="s">
        <v>123</v>
      </c>
      <c r="I175" s="2" t="s">
        <v>563</v>
      </c>
      <c r="J175" s="2" t="s">
        <v>26</v>
      </c>
      <c r="K175" s="2" t="s">
        <v>19</v>
      </c>
    </row>
    <row r="176" customFormat="false" ht="15" hidden="false" customHeight="false" outlineLevel="0" collapsed="false">
      <c r="A176" s="2" t="n">
        <v>175</v>
      </c>
      <c r="B176" s="2" t="s">
        <v>564</v>
      </c>
      <c r="C176" s="2" t="s">
        <v>66</v>
      </c>
      <c r="D176" s="2" t="s">
        <v>120</v>
      </c>
      <c r="E176" s="2" t="s">
        <v>565</v>
      </c>
      <c r="F176" s="2" t="s">
        <v>122</v>
      </c>
      <c r="G176" s="3" t="n">
        <v>8249.73845550927</v>
      </c>
      <c r="H176" s="2" t="s">
        <v>123</v>
      </c>
      <c r="I176" s="2" t="s">
        <v>566</v>
      </c>
      <c r="J176" s="2" t="s">
        <v>34</v>
      </c>
      <c r="K176" s="2" t="s">
        <v>27</v>
      </c>
    </row>
    <row r="177" customFormat="false" ht="15" hidden="false" customHeight="false" outlineLevel="0" collapsed="false">
      <c r="A177" s="2" t="n">
        <v>176</v>
      </c>
      <c r="B177" s="2" t="s">
        <v>567</v>
      </c>
      <c r="C177" s="2" t="s">
        <v>21</v>
      </c>
      <c r="D177" s="2" t="s">
        <v>568</v>
      </c>
      <c r="E177" s="2" t="s">
        <v>569</v>
      </c>
      <c r="F177" s="2" t="s">
        <v>74</v>
      </c>
      <c r="G177" s="3" t="n">
        <v>1016.06799898634</v>
      </c>
      <c r="H177" s="2" t="s">
        <v>16</v>
      </c>
      <c r="I177" s="2" t="s">
        <v>570</v>
      </c>
      <c r="J177" s="2" t="s">
        <v>18</v>
      </c>
      <c r="K177" s="2" t="s">
        <v>42</v>
      </c>
    </row>
    <row r="178" customFormat="false" ht="15" hidden="false" customHeight="false" outlineLevel="0" collapsed="false">
      <c r="A178" s="2" t="n">
        <v>177</v>
      </c>
      <c r="B178" s="2" t="s">
        <v>571</v>
      </c>
      <c r="C178" s="2" t="s">
        <v>50</v>
      </c>
      <c r="D178" s="2" t="s">
        <v>103</v>
      </c>
      <c r="E178" s="2" t="s">
        <v>572</v>
      </c>
      <c r="F178" s="2" t="s">
        <v>53</v>
      </c>
      <c r="G178" s="3" t="n">
        <v>735.862735608038</v>
      </c>
      <c r="H178" s="2" t="s">
        <v>100</v>
      </c>
      <c r="I178" s="2" t="s">
        <v>573</v>
      </c>
      <c r="J178" s="2" t="s">
        <v>61</v>
      </c>
      <c r="K178" s="2" t="s">
        <v>27</v>
      </c>
    </row>
    <row r="179" customFormat="false" ht="15" hidden="false" customHeight="false" outlineLevel="0" collapsed="false">
      <c r="A179" s="2" t="n">
        <v>178</v>
      </c>
      <c r="B179" s="2" t="s">
        <v>220</v>
      </c>
      <c r="C179" s="2" t="s">
        <v>21</v>
      </c>
      <c r="D179" s="2" t="s">
        <v>155</v>
      </c>
      <c r="E179" s="2" t="s">
        <v>574</v>
      </c>
      <c r="F179" s="2"/>
      <c r="G179" s="3" t="n">
        <v>2618.2456675787</v>
      </c>
      <c r="H179" s="2" t="s">
        <v>12</v>
      </c>
      <c r="I179" s="2" t="s">
        <v>575</v>
      </c>
      <c r="J179" s="2" t="s">
        <v>26</v>
      </c>
      <c r="K179" s="2" t="s">
        <v>42</v>
      </c>
    </row>
    <row r="180" customFormat="false" ht="15" hidden="false" customHeight="false" outlineLevel="0" collapsed="false">
      <c r="A180" s="2" t="n">
        <v>179</v>
      </c>
      <c r="B180" s="2" t="s">
        <v>576</v>
      </c>
      <c r="C180" s="2" t="s">
        <v>92</v>
      </c>
      <c r="D180" s="2" t="s">
        <v>93</v>
      </c>
      <c r="E180" s="2" t="s">
        <v>577</v>
      </c>
      <c r="F180" s="2" t="s">
        <v>160</v>
      </c>
      <c r="G180" s="3" t="n">
        <v>19612.6488204787</v>
      </c>
      <c r="H180" s="2" t="s">
        <v>32</v>
      </c>
      <c r="I180" s="2" t="s">
        <v>578</v>
      </c>
      <c r="J180" s="2" t="s">
        <v>18</v>
      </c>
      <c r="K180" s="2" t="s">
        <v>42</v>
      </c>
    </row>
    <row r="181" customFormat="false" ht="15" hidden="false" customHeight="false" outlineLevel="0" collapsed="false">
      <c r="A181" s="2" t="n">
        <v>180</v>
      </c>
      <c r="B181" s="2" t="s">
        <v>579</v>
      </c>
      <c r="C181" s="2" t="s">
        <v>37</v>
      </c>
      <c r="D181" s="2" t="s">
        <v>44</v>
      </c>
      <c r="E181" s="2" t="s">
        <v>580</v>
      </c>
      <c r="F181" s="2" t="s">
        <v>148</v>
      </c>
      <c r="G181" s="3" t="n">
        <v>3546.78634293097</v>
      </c>
      <c r="H181" s="2" t="s">
        <v>12</v>
      </c>
      <c r="I181" s="2" t="s">
        <v>581</v>
      </c>
      <c r="J181" s="2" t="s">
        <v>26</v>
      </c>
      <c r="K181" s="2" t="s">
        <v>35</v>
      </c>
    </row>
    <row r="182" customFormat="false" ht="15" hidden="false" customHeight="false" outlineLevel="0" collapsed="false">
      <c r="A182" s="2" t="n">
        <v>181</v>
      </c>
      <c r="B182" s="2" t="s">
        <v>457</v>
      </c>
      <c r="C182" s="2" t="s">
        <v>50</v>
      </c>
      <c r="D182" s="2" t="s">
        <v>51</v>
      </c>
      <c r="E182" s="2" t="s">
        <v>582</v>
      </c>
      <c r="F182" s="2" t="s">
        <v>89</v>
      </c>
      <c r="G182" s="3" t="n">
        <v>2874.41253602642</v>
      </c>
      <c r="H182" s="2" t="s">
        <v>123</v>
      </c>
      <c r="I182" s="2" t="s">
        <v>583</v>
      </c>
      <c r="J182" s="2" t="s">
        <v>26</v>
      </c>
      <c r="K182" s="2" t="s">
        <v>27</v>
      </c>
    </row>
    <row r="183" customFormat="false" ht="15" hidden="false" customHeight="false" outlineLevel="0" collapsed="false">
      <c r="A183" s="2" t="n">
        <v>182</v>
      </c>
      <c r="B183" s="2" t="s">
        <v>524</v>
      </c>
      <c r="C183" s="2" t="s">
        <v>37</v>
      </c>
      <c r="D183" s="2" t="s">
        <v>139</v>
      </c>
      <c r="E183" s="2" t="s">
        <v>584</v>
      </c>
      <c r="F183" s="2" t="s">
        <v>53</v>
      </c>
      <c r="G183" s="3" t="n">
        <v>4766.28686862651</v>
      </c>
      <c r="H183" s="2" t="s">
        <v>32</v>
      </c>
      <c r="I183" s="2" t="s">
        <v>585</v>
      </c>
      <c r="J183" s="2" t="s">
        <v>34</v>
      </c>
      <c r="K183" s="2" t="s">
        <v>19</v>
      </c>
    </row>
    <row r="184" customFormat="false" ht="15" hidden="false" customHeight="false" outlineLevel="0" collapsed="false">
      <c r="A184" s="2" t="n">
        <v>183</v>
      </c>
      <c r="B184" s="2" t="s">
        <v>586</v>
      </c>
      <c r="C184" s="2" t="s">
        <v>21</v>
      </c>
      <c r="D184" s="2" t="s">
        <v>22</v>
      </c>
      <c r="E184" s="2" t="s">
        <v>587</v>
      </c>
      <c r="F184" s="2" t="s">
        <v>15</v>
      </c>
      <c r="G184" s="3" t="n">
        <v>13314.7210780367</v>
      </c>
      <c r="H184" s="2" t="s">
        <v>32</v>
      </c>
      <c r="I184" s="2" t="s">
        <v>588</v>
      </c>
      <c r="J184" s="2" t="s">
        <v>18</v>
      </c>
      <c r="K184" s="2" t="s">
        <v>35</v>
      </c>
    </row>
    <row r="185" customFormat="false" ht="15" hidden="false" customHeight="false" outlineLevel="0" collapsed="false">
      <c r="A185" s="2" t="n">
        <v>184</v>
      </c>
      <c r="B185" s="2" t="s">
        <v>589</v>
      </c>
      <c r="C185" s="2" t="s">
        <v>92</v>
      </c>
      <c r="D185" s="2" t="s">
        <v>258</v>
      </c>
      <c r="E185" s="2" t="s">
        <v>590</v>
      </c>
      <c r="F185" s="2" t="s">
        <v>148</v>
      </c>
      <c r="G185" s="3" t="n">
        <v>2945.39596737415</v>
      </c>
      <c r="H185" s="2" t="s">
        <v>12</v>
      </c>
      <c r="I185" s="2" t="s">
        <v>591</v>
      </c>
      <c r="J185" s="2" t="s">
        <v>61</v>
      </c>
      <c r="K185" s="2" t="s">
        <v>42</v>
      </c>
    </row>
    <row r="186" customFormat="false" ht="15" hidden="false" customHeight="false" outlineLevel="0" collapsed="false">
      <c r="A186" s="2" t="n">
        <v>185</v>
      </c>
      <c r="B186" s="2" t="s">
        <v>592</v>
      </c>
      <c r="C186" s="2" t="s">
        <v>92</v>
      </c>
      <c r="D186" s="2" t="s">
        <v>146</v>
      </c>
      <c r="E186" s="2" t="s">
        <v>593</v>
      </c>
      <c r="F186" s="2" t="s">
        <v>31</v>
      </c>
      <c r="G186" s="3" t="n">
        <v>4619.9775810907</v>
      </c>
      <c r="H186" s="2" t="s">
        <v>47</v>
      </c>
      <c r="I186" s="2" t="s">
        <v>594</v>
      </c>
      <c r="J186" s="2" t="s">
        <v>26</v>
      </c>
      <c r="K186" s="2" t="s">
        <v>35</v>
      </c>
    </row>
    <row r="187" customFormat="false" ht="15" hidden="false" customHeight="false" outlineLevel="0" collapsed="false">
      <c r="A187" s="2" t="n">
        <v>186</v>
      </c>
      <c r="B187" s="2" t="s">
        <v>497</v>
      </c>
      <c r="C187" s="2" t="s">
        <v>92</v>
      </c>
      <c r="D187" s="2" t="s">
        <v>200</v>
      </c>
      <c r="E187" s="2" t="s">
        <v>595</v>
      </c>
      <c r="F187" s="2" t="s">
        <v>89</v>
      </c>
      <c r="G187" s="3" t="n">
        <v>1633.79610564283</v>
      </c>
      <c r="H187" s="2" t="s">
        <v>32</v>
      </c>
      <c r="I187" s="2" t="s">
        <v>596</v>
      </c>
      <c r="J187" s="2" t="s">
        <v>76</v>
      </c>
      <c r="K187" s="2" t="s">
        <v>35</v>
      </c>
    </row>
    <row r="188" customFormat="false" ht="15" hidden="false" customHeight="false" outlineLevel="0" collapsed="false">
      <c r="A188" s="2" t="n">
        <v>187</v>
      </c>
      <c r="B188" s="2" t="s">
        <v>597</v>
      </c>
      <c r="C188" s="2" t="s">
        <v>66</v>
      </c>
      <c r="D188" s="2" t="s">
        <v>97</v>
      </c>
      <c r="E188" s="2" t="s">
        <v>598</v>
      </c>
      <c r="F188" s="2" t="s">
        <v>53</v>
      </c>
      <c r="G188" s="3" t="n">
        <v>2366.47300194673</v>
      </c>
      <c r="H188" s="2" t="s">
        <v>123</v>
      </c>
      <c r="I188" s="2" t="s">
        <v>599</v>
      </c>
      <c r="J188" s="2" t="s">
        <v>76</v>
      </c>
      <c r="K188" s="2" t="s">
        <v>42</v>
      </c>
    </row>
    <row r="189" customFormat="false" ht="15" hidden="false" customHeight="false" outlineLevel="0" collapsed="false">
      <c r="A189" s="2" t="n">
        <v>188</v>
      </c>
      <c r="B189" s="2" t="s">
        <v>536</v>
      </c>
      <c r="C189" s="2" t="s">
        <v>37</v>
      </c>
      <c r="D189" s="2" t="s">
        <v>139</v>
      </c>
      <c r="E189" s="2" t="s">
        <v>600</v>
      </c>
      <c r="F189" s="2" t="s">
        <v>148</v>
      </c>
      <c r="G189" s="3" t="n">
        <v>4939.15809588527</v>
      </c>
      <c r="H189" s="2" t="s">
        <v>12</v>
      </c>
      <c r="I189" s="2" t="s">
        <v>601</v>
      </c>
      <c r="J189" s="2" t="s">
        <v>76</v>
      </c>
      <c r="K189" s="2" t="s">
        <v>19</v>
      </c>
    </row>
    <row r="190" customFormat="false" ht="15" hidden="false" customHeight="false" outlineLevel="0" collapsed="false">
      <c r="A190" s="2" t="n">
        <v>189</v>
      </c>
      <c r="B190" s="2" t="s">
        <v>602</v>
      </c>
      <c r="C190" s="2" t="s">
        <v>92</v>
      </c>
      <c r="D190" s="2" t="s">
        <v>146</v>
      </c>
      <c r="E190" s="2" t="s">
        <v>603</v>
      </c>
      <c r="F190" s="2" t="s">
        <v>160</v>
      </c>
      <c r="G190" s="3" t="n">
        <v>-3454.58149198874</v>
      </c>
      <c r="H190" s="2" t="s">
        <v>66</v>
      </c>
      <c r="I190" s="2" t="s">
        <v>604</v>
      </c>
      <c r="J190" s="2" t="s">
        <v>26</v>
      </c>
      <c r="K190" s="2" t="s">
        <v>27</v>
      </c>
    </row>
    <row r="191" customFormat="false" ht="15" hidden="false" customHeight="false" outlineLevel="0" collapsed="false">
      <c r="A191" s="2" t="n">
        <v>190</v>
      </c>
      <c r="B191" s="2" t="s">
        <v>605</v>
      </c>
      <c r="C191" s="2" t="s">
        <v>92</v>
      </c>
      <c r="D191" s="2" t="s">
        <v>93</v>
      </c>
      <c r="E191" s="2" t="s">
        <v>606</v>
      </c>
      <c r="F191" s="2" t="s">
        <v>148</v>
      </c>
      <c r="G191" s="3" t="n">
        <v>16224.7009856524</v>
      </c>
      <c r="H191" s="2" t="s">
        <v>123</v>
      </c>
      <c r="I191" s="2" t="s">
        <v>607</v>
      </c>
      <c r="J191" s="2" t="s">
        <v>76</v>
      </c>
      <c r="K191" s="2" t="s">
        <v>42</v>
      </c>
    </row>
    <row r="192" customFormat="false" ht="15" hidden="false" customHeight="false" outlineLevel="0" collapsed="false">
      <c r="A192" s="2" t="n">
        <v>191</v>
      </c>
      <c r="B192" s="2" t="s">
        <v>608</v>
      </c>
      <c r="C192" s="2" t="s">
        <v>66</v>
      </c>
      <c r="D192" s="2" t="s">
        <v>120</v>
      </c>
      <c r="E192" s="2" t="s">
        <v>609</v>
      </c>
      <c r="F192" s="2" t="s">
        <v>65</v>
      </c>
      <c r="G192" s="3" t="n">
        <v>1554.18992477938</v>
      </c>
      <c r="H192" s="2" t="s">
        <v>12</v>
      </c>
      <c r="I192" s="2" t="s">
        <v>610</v>
      </c>
      <c r="J192" s="2" t="s">
        <v>76</v>
      </c>
      <c r="K192" s="2" t="s">
        <v>19</v>
      </c>
    </row>
    <row r="193" customFormat="false" ht="15" hidden="false" customHeight="false" outlineLevel="0" collapsed="false">
      <c r="A193" s="2" t="n">
        <v>192</v>
      </c>
      <c r="B193" s="2" t="s">
        <v>380</v>
      </c>
      <c r="C193" s="2" t="s">
        <v>66</v>
      </c>
      <c r="D193" s="2" t="s">
        <v>97</v>
      </c>
      <c r="E193" s="2" t="s">
        <v>611</v>
      </c>
      <c r="F193" s="2" t="s">
        <v>160</v>
      </c>
      <c r="G193" s="3" t="n">
        <v>1609.98310122033</v>
      </c>
      <c r="H193" s="2" t="s">
        <v>123</v>
      </c>
      <c r="I193" s="2" t="s">
        <v>612</v>
      </c>
      <c r="J193" s="2" t="s">
        <v>34</v>
      </c>
      <c r="K193" s="2" t="s">
        <v>27</v>
      </c>
    </row>
    <row r="194" customFormat="false" ht="15" hidden="false" customHeight="false" outlineLevel="0" collapsed="false">
      <c r="A194" s="2" t="n">
        <v>193</v>
      </c>
      <c r="B194" s="2" t="s">
        <v>613</v>
      </c>
      <c r="C194" s="2" t="s">
        <v>21</v>
      </c>
      <c r="D194" s="2" t="s">
        <v>29</v>
      </c>
      <c r="E194" s="2" t="s">
        <v>614</v>
      </c>
      <c r="F194" s="2" t="s">
        <v>31</v>
      </c>
      <c r="G194" s="3" t="n">
        <v>4827.20519224526</v>
      </c>
      <c r="H194" s="2" t="s">
        <v>100</v>
      </c>
      <c r="I194" s="2" t="s">
        <v>615</v>
      </c>
      <c r="J194" s="2" t="s">
        <v>18</v>
      </c>
      <c r="K194" s="2" t="s">
        <v>35</v>
      </c>
    </row>
    <row r="195" customFormat="false" ht="15" hidden="false" customHeight="false" outlineLevel="0" collapsed="false">
      <c r="A195" s="2" t="n">
        <v>194</v>
      </c>
      <c r="B195" s="2" t="s">
        <v>432</v>
      </c>
      <c r="C195" s="2" t="s">
        <v>56</v>
      </c>
      <c r="D195" s="2" t="s">
        <v>69</v>
      </c>
      <c r="E195" s="2" t="s">
        <v>616</v>
      </c>
      <c r="F195" s="2" t="s">
        <v>46</v>
      </c>
      <c r="G195" s="3" t="n">
        <v>3241.54814263408</v>
      </c>
      <c r="H195" s="2" t="s">
        <v>47</v>
      </c>
      <c r="I195" s="2" t="s">
        <v>617</v>
      </c>
      <c r="J195" s="2" t="s">
        <v>34</v>
      </c>
      <c r="K195" s="2" t="s">
        <v>27</v>
      </c>
    </row>
    <row r="196" customFormat="false" ht="15" hidden="false" customHeight="false" outlineLevel="0" collapsed="false">
      <c r="A196" s="2" t="n">
        <v>195</v>
      </c>
      <c r="B196" s="2" t="s">
        <v>189</v>
      </c>
      <c r="C196" s="2" t="s">
        <v>92</v>
      </c>
      <c r="D196" s="2" t="s">
        <v>151</v>
      </c>
      <c r="E196" s="2" t="s">
        <v>618</v>
      </c>
      <c r="F196" s="2" t="s">
        <v>40</v>
      </c>
      <c r="G196" s="3" t="n">
        <v>2801.87484704028</v>
      </c>
      <c r="H196" s="2" t="s">
        <v>100</v>
      </c>
      <c r="I196" s="2" t="s">
        <v>489</v>
      </c>
      <c r="J196" s="2" t="s">
        <v>34</v>
      </c>
      <c r="K196" s="2" t="s">
        <v>42</v>
      </c>
    </row>
    <row r="197" customFormat="false" ht="15" hidden="false" customHeight="false" outlineLevel="0" collapsed="false">
      <c r="A197" s="2" t="n">
        <v>196</v>
      </c>
      <c r="B197" s="2" t="s">
        <v>109</v>
      </c>
      <c r="C197" s="2" t="s">
        <v>92</v>
      </c>
      <c r="D197" s="2" t="s">
        <v>93</v>
      </c>
      <c r="E197" s="2" t="s">
        <v>619</v>
      </c>
      <c r="F197" s="2" t="s">
        <v>40</v>
      </c>
      <c r="G197" s="3" t="n">
        <v>8778.38197868227</v>
      </c>
      <c r="H197" s="2" t="s">
        <v>12</v>
      </c>
      <c r="I197" s="2" t="s">
        <v>620</v>
      </c>
      <c r="J197" s="2" t="s">
        <v>61</v>
      </c>
      <c r="K197" s="2" t="s">
        <v>42</v>
      </c>
    </row>
    <row r="198" customFormat="false" ht="15" hidden="false" customHeight="false" outlineLevel="0" collapsed="false">
      <c r="A198" s="2" t="n">
        <v>197</v>
      </c>
      <c r="B198" s="2" t="s">
        <v>621</v>
      </c>
      <c r="C198" s="2" t="s">
        <v>56</v>
      </c>
      <c r="D198" s="2" t="s">
        <v>113</v>
      </c>
      <c r="E198" s="2" t="s">
        <v>622</v>
      </c>
      <c r="F198" s="2" t="s">
        <v>24</v>
      </c>
      <c r="G198" s="3" t="n">
        <v>685.42579130531</v>
      </c>
      <c r="H198" s="2" t="s">
        <v>123</v>
      </c>
      <c r="I198" s="2" t="s">
        <v>623</v>
      </c>
      <c r="J198" s="2" t="s">
        <v>18</v>
      </c>
      <c r="K198" s="2" t="s">
        <v>42</v>
      </c>
    </row>
    <row r="199" customFormat="false" ht="15" hidden="false" customHeight="false" outlineLevel="0" collapsed="false">
      <c r="A199" s="2" t="n">
        <v>198</v>
      </c>
      <c r="B199" s="2" t="s">
        <v>624</v>
      </c>
      <c r="C199" s="2" t="s">
        <v>50</v>
      </c>
      <c r="D199" s="2" t="s">
        <v>51</v>
      </c>
      <c r="E199" s="2" t="s">
        <v>625</v>
      </c>
      <c r="F199" s="2" t="s">
        <v>24</v>
      </c>
      <c r="G199" s="3" t="n">
        <v>3289.13370968646</v>
      </c>
      <c r="H199" s="2" t="s">
        <v>12</v>
      </c>
      <c r="I199" s="2" t="s">
        <v>626</v>
      </c>
      <c r="J199" s="2" t="s">
        <v>26</v>
      </c>
      <c r="K199" s="2" t="s">
        <v>42</v>
      </c>
    </row>
    <row r="200" customFormat="false" ht="15" hidden="false" customHeight="false" outlineLevel="0" collapsed="false">
      <c r="A200" s="2" t="n">
        <v>199</v>
      </c>
      <c r="B200" s="2" t="s">
        <v>365</v>
      </c>
      <c r="C200" s="2" t="s">
        <v>50</v>
      </c>
      <c r="D200" s="2" t="s">
        <v>331</v>
      </c>
      <c r="E200" s="2" t="s">
        <v>627</v>
      </c>
      <c r="F200" s="2" t="s">
        <v>46</v>
      </c>
      <c r="G200" s="3" t="n">
        <v>2015.41768938447</v>
      </c>
      <c r="H200" s="2" t="s">
        <v>100</v>
      </c>
      <c r="I200" s="2" t="s">
        <v>628</v>
      </c>
      <c r="J200" s="2" t="s">
        <v>76</v>
      </c>
      <c r="K200" s="2" t="s">
        <v>19</v>
      </c>
    </row>
    <row r="201" customFormat="false" ht="15" hidden="false" customHeight="false" outlineLevel="0" collapsed="false">
      <c r="A201" s="2" t="n">
        <v>200</v>
      </c>
      <c r="B201" s="2" t="s">
        <v>629</v>
      </c>
      <c r="C201" s="2" t="s">
        <v>92</v>
      </c>
      <c r="D201" s="2" t="s">
        <v>93</v>
      </c>
      <c r="E201" s="2" t="s">
        <v>630</v>
      </c>
      <c r="F201" s="2" t="s">
        <v>15</v>
      </c>
      <c r="G201" s="3" t="n">
        <v>10747.181362479</v>
      </c>
      <c r="H201" s="2" t="s">
        <v>66</v>
      </c>
      <c r="I201" s="2" t="s">
        <v>631</v>
      </c>
      <c r="J201" s="2" t="s">
        <v>26</v>
      </c>
      <c r="K201" s="2" t="s">
        <v>42</v>
      </c>
    </row>
    <row r="202" customFormat="false" ht="15" hidden="false" customHeight="false" outlineLevel="0" collapsed="false">
      <c r="F202" s="4" t="s">
        <v>632</v>
      </c>
      <c r="G202" s="5" t="n">
        <f aca="false">SUM(G2:G201)</f>
        <v>804686.898648064</v>
      </c>
    </row>
    <row r="203" customFormat="false" ht="15" hidden="false" customHeight="false" outlineLevel="0" collapsed="false">
      <c r="F203" s="0" t="s">
        <v>633</v>
      </c>
      <c r="G203" s="6" t="e">
        <f aca="false">AVERAGE(G2:Z999)</f>
        <v>#VALUE!</v>
      </c>
    </row>
    <row r="204" customFormat="false" ht="15" hidden="false" customHeight="false" outlineLevel="0" collapsed="false">
      <c r="F204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7" t="s">
        <v>2</v>
      </c>
      <c r="B1" s="7" t="s">
        <v>634</v>
      </c>
      <c r="C1" s="7" t="s">
        <v>635</v>
      </c>
      <c r="D1" s="7" t="s">
        <v>636</v>
      </c>
      <c r="E1" s="7" t="s">
        <v>637</v>
      </c>
    </row>
    <row r="2" customFormat="false" ht="15" hidden="false" customHeight="false" outlineLevel="0" collapsed="false">
      <c r="A2" s="0" t="s">
        <v>21</v>
      </c>
      <c r="B2" s="6" t="n">
        <f aca="false">SUMIF('Despesas 2024'!C:C,"Pessoal",'Despesas 2024'!G:G)</f>
        <v>137361.079013631</v>
      </c>
      <c r="C2" s="8" t="n">
        <f aca="false">COUNTIF('Despesas 2024'!C:C,"Pessoal")</f>
        <v>32</v>
      </c>
      <c r="D2" s="6" t="n">
        <f aca="false">B2/C2</f>
        <v>4292.53371917595</v>
      </c>
      <c r="E2" s="9" t="n">
        <f aca="false">B2/'Despesas 2024'!$G$202</f>
        <v>0.17070127430235</v>
      </c>
    </row>
    <row r="3" customFormat="false" ht="15" hidden="false" customHeight="false" outlineLevel="0" collapsed="false">
      <c r="A3" s="0" t="s">
        <v>92</v>
      </c>
      <c r="B3" s="6" t="n">
        <f aca="false">SUMIF('Despesas 2024'!C:C,"Infraestrutura",'Despesas 2024'!G:G)</f>
        <v>194535.087038111</v>
      </c>
      <c r="C3" s="8" t="n">
        <f aca="false">COUNTIF('Despesas 2024'!C:C,"Infraestrutura")</f>
        <v>39</v>
      </c>
      <c r="D3" s="6" t="n">
        <f aca="false">B3/C3</f>
        <v>4988.07915482336</v>
      </c>
      <c r="E3" s="9" t="n">
        <f aca="false">B3/'Despesas 2024'!$G$202</f>
        <v>0.241752521837928</v>
      </c>
    </row>
    <row r="4" customFormat="false" ht="15" hidden="false" customHeight="false" outlineLevel="0" collapsed="false">
      <c r="A4" s="0" t="s">
        <v>66</v>
      </c>
      <c r="B4" s="6" t="n">
        <f aca="false">SUMIF('Despesas 2024'!C:C,"Marketing",'Despesas 2024'!G:G)</f>
        <v>70415.6618622581</v>
      </c>
      <c r="C4" s="8" t="n">
        <f aca="false">COUNTIF('Despesas 2024'!C:C,"Marketing")</f>
        <v>24</v>
      </c>
      <c r="D4" s="6" t="n">
        <f aca="false">B4/C4</f>
        <v>2933.98591092742</v>
      </c>
      <c r="E4" s="9" t="n">
        <f aca="false">B4/'Despesas 2024'!$G$202</f>
        <v>0.0875069073208</v>
      </c>
    </row>
    <row r="5" customFormat="false" ht="15" hidden="false" customHeight="false" outlineLevel="0" collapsed="false">
      <c r="A5" s="0" t="s">
        <v>12</v>
      </c>
      <c r="B5" s="6" t="n">
        <f aca="false">SUMIF('Despesas 2024'!C:C,"TI",'Despesas 2024'!G:G)</f>
        <v>44734.4907284486</v>
      </c>
      <c r="C5" s="8" t="n">
        <f aca="false">COUNTIF('Despesas 2024'!C:C,"TI")</f>
        <v>19</v>
      </c>
      <c r="D5" s="6" t="n">
        <f aca="false">B5/C5</f>
        <v>2354.44688044466</v>
      </c>
      <c r="E5" s="9" t="n">
        <f aca="false">B5/'Despesas 2024'!$G$202</f>
        <v>0.0555924183724204</v>
      </c>
    </row>
    <row r="6" customFormat="false" ht="15" hidden="false" customHeight="false" outlineLevel="0" collapsed="false">
      <c r="A6" s="0" t="s">
        <v>56</v>
      </c>
      <c r="B6" s="6" t="n">
        <f aca="false">SUMIF('Despesas 2024'!C:C,"Operacional",'Despesas 2024'!G:G)</f>
        <v>42521.2802209363</v>
      </c>
      <c r="C6" s="8" t="n">
        <f aca="false">COUNTIF('Despesas 2024'!C:C,"Operacional")</f>
        <v>22</v>
      </c>
      <c r="D6" s="6" t="n">
        <f aca="false">B6/C6</f>
        <v>1932.78546458801</v>
      </c>
      <c r="E6" s="9" t="n">
        <f aca="false">B6/'Despesas 2024'!$G$202</f>
        <v>0.0528420187931173</v>
      </c>
    </row>
    <row r="7" customFormat="false" ht="15" hidden="false" customHeight="false" outlineLevel="0" collapsed="false">
      <c r="A7" s="0" t="s">
        <v>50</v>
      </c>
      <c r="B7" s="6" t="n">
        <f aca="false">SUMIF('Despesas 2024'!C:C,"Administrativo",'Despesas 2024'!G:G)</f>
        <v>157144.871963566</v>
      </c>
      <c r="C7" s="8" t="n">
        <f aca="false">COUNTIF('Despesas 2024'!C:C,"Administrativo")</f>
        <v>29</v>
      </c>
      <c r="D7" s="6" t="n">
        <f aca="false">B7/C7</f>
        <v>5418.78868839881</v>
      </c>
      <c r="E7" s="9" t="n">
        <f aca="false">B7/'Despesas 2024'!$G$202</f>
        <v>0.195286977118157</v>
      </c>
    </row>
    <row r="8" customFormat="false" ht="15" hidden="false" customHeight="false" outlineLevel="0" collapsed="false">
      <c r="A8" s="0" t="s">
        <v>37</v>
      </c>
      <c r="B8" s="6" t="n">
        <f aca="false">SUMIF('Despesas 2024'!C:C,"Viagens",'Despesas 2024'!G:G)</f>
        <v>155534.95243629</v>
      </c>
      <c r="C8" s="8" t="n">
        <f aca="false">COUNTIF('Despesas 2024'!C:C,"Viagens")</f>
        <v>33</v>
      </c>
      <c r="D8" s="6" t="n">
        <f aca="false">B8/C8</f>
        <v>4713.18037685727</v>
      </c>
      <c r="E8" s="9" t="n">
        <f aca="false">B8/'Despesas 2024'!$G$202</f>
        <v>0.193286298928938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2026-02-11T18:15:44Z</dcterms:created>
  <dc:creator>openpyxl</dc:creator>
  <dc:description/>
  <dc:language>en-US</dc:language>
  <cp:lastModifiedBy/>
  <dcterms:modified xsi:type="dcterms:W3CDTF">2026-02-11T18:15:44Z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